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pps\rent track\"/>
    </mc:Choice>
  </mc:AlternateContent>
  <xr:revisionPtr revIDLastSave="0" documentId="13_ncr:1_{535AA5B8-2335-4E6F-ACA4-DFFA400EDB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perties" sheetId="1" r:id="rId1"/>
    <sheet name="Rent" sheetId="5" r:id="rId2"/>
    <sheet name="Sheet2" sheetId="6" r:id="rId3"/>
    <sheet name="Tenants" sheetId="3" r:id="rId4"/>
    <sheet name="Payments" sheetId="4" r:id="rId5"/>
  </sheets>
  <definedNames>
    <definedName name="_xlnm._FilterDatabase" localSheetId="4" hidden="1">Payments!$A$1:$H$67</definedName>
    <definedName name="_xlnm._FilterDatabase" localSheetId="3" hidden="1">Tenants!$A$1:$J$24</definedName>
  </definedNames>
  <calcPr calcId="191029"/>
</workbook>
</file>

<file path=xl/calcChain.xml><?xml version="1.0" encoding="utf-8"?>
<calcChain xmlns="http://schemas.openxmlformats.org/spreadsheetml/2006/main">
  <c r="F35" i="1" l="1"/>
  <c r="F36" i="1"/>
  <c r="F37" i="1"/>
  <c r="F38" i="1"/>
  <c r="F39" i="1"/>
  <c r="C32" i="4"/>
  <c r="B8" i="3"/>
  <c r="B3" i="3"/>
  <c r="B4" i="3"/>
  <c r="B5" i="3"/>
  <c r="B6" i="3"/>
  <c r="B7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" i="3"/>
  <c r="F43" i="1"/>
  <c r="F42" i="1"/>
  <c r="F41" i="1"/>
  <c r="F40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G18" i="1"/>
  <c r="G17" i="1"/>
  <c r="G16" i="1"/>
  <c r="G15" i="1"/>
  <c r="G14" i="1"/>
  <c r="F13" i="1"/>
  <c r="F12" i="1"/>
  <c r="F11" i="1"/>
  <c r="F10" i="1"/>
  <c r="F9" i="1"/>
  <c r="F8" i="1"/>
  <c r="G7" i="1"/>
  <c r="G6" i="1"/>
  <c r="G5" i="1"/>
  <c r="F4" i="1"/>
  <c r="F3" i="1"/>
  <c r="F2" i="1"/>
  <c r="G44" i="1" l="1"/>
</calcChain>
</file>

<file path=xl/sharedStrings.xml><?xml version="1.0" encoding="utf-8"?>
<sst xmlns="http://schemas.openxmlformats.org/spreadsheetml/2006/main" count="998" uniqueCount="199">
  <si>
    <t>Ideo</t>
  </si>
  <si>
    <t>Life</t>
  </si>
  <si>
    <t>KNB</t>
  </si>
  <si>
    <t>Ando</t>
  </si>
  <si>
    <t>Origin</t>
  </si>
  <si>
    <t>property</t>
  </si>
  <si>
    <t>unit_number</t>
  </si>
  <si>
    <t>1208</t>
  </si>
  <si>
    <t>1705</t>
  </si>
  <si>
    <t>1706</t>
  </si>
  <si>
    <t>1708</t>
  </si>
  <si>
    <t>500</t>
  </si>
  <si>
    <t>317</t>
  </si>
  <si>
    <t>374</t>
  </si>
  <si>
    <t>4209</t>
  </si>
  <si>
    <t>27F5</t>
  </si>
  <si>
    <t>2022</t>
  </si>
  <si>
    <t>tenant_name</t>
  </si>
  <si>
    <t>contract_start</t>
  </si>
  <si>
    <t>contract_end</t>
  </si>
  <si>
    <t>พูนลาภ</t>
  </si>
  <si>
    <t>xxx-xxx-x426</t>
  </si>
  <si>
    <t>2025-06-30</t>
  </si>
  <si>
    <t>2026-06-29</t>
  </si>
  <si>
    <t>Narong</t>
  </si>
  <si>
    <t>xxx-xxx-x056</t>
  </si>
  <si>
    <t>2025-02-15</t>
  </si>
  <si>
    <t>2026-02-14</t>
  </si>
  <si>
    <t>Sumatra / Nithit</t>
  </si>
  <si>
    <t>2025-06-01</t>
  </si>
  <si>
    <t>2026-05-31</t>
  </si>
  <si>
    <t>Montha / Peem</t>
  </si>
  <si>
    <t>2025-02-26</t>
  </si>
  <si>
    <t>2026-02-25</t>
  </si>
  <si>
    <t>Pimchanok</t>
  </si>
  <si>
    <t>2025-05-05</t>
  </si>
  <si>
    <t>2026-05-04</t>
  </si>
  <si>
    <t>ภรณ์ชนก</t>
  </si>
  <si>
    <t>2025-09-13</t>
  </si>
  <si>
    <t>2026-09-12</t>
  </si>
  <si>
    <t>Donald</t>
  </si>
  <si>
    <t>2025-05-01</t>
  </si>
  <si>
    <t>2026-04-30</t>
  </si>
  <si>
    <t>Torfun</t>
  </si>
  <si>
    <t>2025-05-21</t>
  </si>
  <si>
    <t>2026-05-20</t>
  </si>
  <si>
    <t>Richard</t>
  </si>
  <si>
    <t>2025-10-07</t>
  </si>
  <si>
    <t>2026-10-06</t>
  </si>
  <si>
    <t>Emma</t>
  </si>
  <si>
    <t>2025-08-07</t>
  </si>
  <si>
    <t>2026-08-06</t>
  </si>
  <si>
    <t>month</t>
  </si>
  <si>
    <t>amount_due</t>
  </si>
  <si>
    <t>amount_paid</t>
  </si>
  <si>
    <t>payment_date</t>
  </si>
  <si>
    <t>status</t>
  </si>
  <si>
    <t>2026-04</t>
  </si>
  <si>
    <t/>
  </si>
  <si>
    <t>late</t>
  </si>
  <si>
    <t>2026-03</t>
  </si>
  <si>
    <t>2026-02</t>
  </si>
  <si>
    <t>2026-01</t>
  </si>
  <si>
    <t>2026-01-10</t>
  </si>
  <si>
    <t>paid</t>
  </si>
  <si>
    <t>2026-01-01</t>
  </si>
  <si>
    <t>2026-01-26</t>
  </si>
  <si>
    <t>2026-01-06</t>
  </si>
  <si>
    <t>2026-01-14</t>
  </si>
  <si>
    <t>2026-01-23</t>
  </si>
  <si>
    <t>2026-01-08</t>
  </si>
  <si>
    <t>2025-12</t>
  </si>
  <si>
    <t>2025-12-02</t>
  </si>
  <si>
    <t>2025-12-20</t>
  </si>
  <si>
    <t>2025-12-06</t>
  </si>
  <si>
    <t>2025-12-14</t>
  </si>
  <si>
    <t>2025-12-23</t>
  </si>
  <si>
    <t>2025-12-07</t>
  </si>
  <si>
    <t>2025-12-08</t>
  </si>
  <si>
    <t>2025-11</t>
  </si>
  <si>
    <t>2025-11-16</t>
  </si>
  <si>
    <t>2025-11-01</t>
  </si>
  <si>
    <t>2025-11-15</t>
  </si>
  <si>
    <t>2025-11-06</t>
  </si>
  <si>
    <t>2025-11-12</t>
  </si>
  <si>
    <t>2025-11-24</t>
  </si>
  <si>
    <t>2025-11-07</t>
  </si>
  <si>
    <t>2025-11-08</t>
  </si>
  <si>
    <t>ลำดับ</t>
  </si>
  <si>
    <t>เจ้าของ</t>
  </si>
  <si>
    <t>วันที่</t>
  </si>
  <si>
    <t>จังหวัด</t>
  </si>
  <si>
    <t>ชื่อโครงการ</t>
  </si>
  <si>
    <t>เลขที่ห้อง</t>
  </si>
  <si>
    <t>ตรม</t>
  </si>
  <si>
    <t>ราคา/ตรม</t>
  </si>
  <si>
    <t>ศิริวรรณ</t>
  </si>
  <si>
    <t>26/11/50</t>
  </si>
  <si>
    <t>กทม</t>
  </si>
  <si>
    <t>Silom Terrace</t>
  </si>
  <si>
    <t>57/89</t>
  </si>
  <si>
    <t>20/09/2547</t>
  </si>
  <si>
    <t>I-HOUSE RCA</t>
  </si>
  <si>
    <t>39/601</t>
  </si>
  <si>
    <t>Diamond</t>
  </si>
  <si>
    <t>LPN ราม16</t>
  </si>
  <si>
    <t>55/53</t>
  </si>
  <si>
    <t>ไพโรจน์</t>
  </si>
  <si>
    <t>ภัทร ศรีพัฒน์</t>
  </si>
  <si>
    <t>15/40</t>
  </si>
  <si>
    <t>15/334</t>
  </si>
  <si>
    <t>พีคทาวเวอร์</t>
  </si>
  <si>
    <t>17/112</t>
  </si>
  <si>
    <t>17/299</t>
  </si>
  <si>
    <t>17/39</t>
  </si>
  <si>
    <t>-</t>
  </si>
  <si>
    <t>พัทยา</t>
  </si>
  <si>
    <t>The Palm</t>
  </si>
  <si>
    <t>A 4207</t>
  </si>
  <si>
    <t>19/01/56</t>
  </si>
  <si>
    <t>A 4407</t>
  </si>
  <si>
    <t>A 1901</t>
  </si>
  <si>
    <t>Cetus</t>
  </si>
  <si>
    <t>ชินวัฒน์</t>
  </si>
  <si>
    <t>A 3102</t>
  </si>
  <si>
    <t>SH,N</t>
  </si>
  <si>
    <t>28/04/59</t>
  </si>
  <si>
    <t>เขาใหญ่</t>
  </si>
  <si>
    <t>ทิวเขา</t>
  </si>
  <si>
    <t>Romantic</t>
  </si>
  <si>
    <t>A 302</t>
  </si>
  <si>
    <t>ณภัทร์</t>
  </si>
  <si>
    <t>19/04/61</t>
  </si>
  <si>
    <t>B 501</t>
  </si>
  <si>
    <t>B 502</t>
  </si>
  <si>
    <t>B 503</t>
  </si>
  <si>
    <t>B 504</t>
  </si>
  <si>
    <t>B 506</t>
  </si>
  <si>
    <t>B 507</t>
  </si>
  <si>
    <t>B 508</t>
  </si>
  <si>
    <t>Andromedra</t>
  </si>
  <si>
    <t>26 F5</t>
  </si>
  <si>
    <t>26/5/2566</t>
  </si>
  <si>
    <t xml:space="preserve">27 F5 </t>
  </si>
  <si>
    <t>25/12/2567</t>
  </si>
  <si>
    <t>Florida</t>
  </si>
  <si>
    <t>B 103</t>
  </si>
  <si>
    <t>B 104</t>
  </si>
  <si>
    <t>27/06/2566</t>
  </si>
  <si>
    <t>30/6/2566</t>
  </si>
  <si>
    <t>IDEO</t>
  </si>
  <si>
    <t>A1208</t>
  </si>
  <si>
    <t>A1705</t>
  </si>
  <si>
    <t>A1706</t>
  </si>
  <si>
    <t>A1708</t>
  </si>
  <si>
    <t>30/01/2568</t>
  </si>
  <si>
    <t>996/317</t>
  </si>
  <si>
    <t>996/374</t>
  </si>
  <si>
    <t>996/500</t>
  </si>
  <si>
    <t>ราคาซื้อ</t>
  </si>
  <si>
    <t>ราคาค่าเช่า</t>
  </si>
  <si>
    <t>ORIGIN</t>
  </si>
  <si>
    <t>Account No。</t>
  </si>
  <si>
    <t>Chayapa</t>
  </si>
  <si>
    <t>Sold</t>
  </si>
  <si>
    <t>Status</t>
  </si>
  <si>
    <t>i-house</t>
  </si>
  <si>
    <t>Rent fee</t>
  </si>
  <si>
    <t>Somebody</t>
  </si>
  <si>
    <t>Praparat</t>
  </si>
  <si>
    <t>Lumphini Ville</t>
  </si>
  <si>
    <t>Diamond A</t>
  </si>
  <si>
    <t>Diamond B</t>
  </si>
  <si>
    <t>Diamond C</t>
  </si>
  <si>
    <t>Diamond D</t>
  </si>
  <si>
    <t>On-going</t>
  </si>
  <si>
    <t>Done</t>
  </si>
  <si>
    <t>Cancel</t>
  </si>
  <si>
    <t>T 1</t>
  </si>
  <si>
    <t>T 2</t>
  </si>
  <si>
    <t>T3</t>
  </si>
  <si>
    <t>T 3</t>
  </si>
  <si>
    <t>ภัทรศรี</t>
  </si>
  <si>
    <t>Pat A</t>
  </si>
  <si>
    <t>Contract Number</t>
  </si>
  <si>
    <t>Prop Number</t>
  </si>
  <si>
    <t>I-house</t>
  </si>
  <si>
    <t>Paid</t>
  </si>
  <si>
    <t>Lumphini</t>
  </si>
  <si>
    <t>L 1</t>
  </si>
  <si>
    <t>D2</t>
  </si>
  <si>
    <t>D3</t>
  </si>
  <si>
    <t>D1</t>
  </si>
  <si>
    <t>Take Deposit</t>
  </si>
  <si>
    <t>D4</t>
  </si>
  <si>
    <t>T1</t>
  </si>
  <si>
    <t>T2</t>
  </si>
  <si>
    <t>ภัทร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</si>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</sst>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m/d/yy;@"/>
    <numFmt numFmtId="188" formatCode="yyyy\-mm\-dd;@"/>
  </numFmts>
  <fonts count="7" x14ac:knownFonts="1">
    <font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8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87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87" fontId="3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187" fontId="4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187" fontId="5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43" fontId="3" fillId="0" borderId="1" xfId="1" applyFont="1" applyBorder="1"/>
    <xf numFmtId="188" fontId="0" fillId="0" borderId="0" xfId="0" applyNumberFormat="1"/>
    <xf numFmtId="43" fontId="0" fillId="0" borderId="1" xfId="1" applyFont="1" applyBorder="1"/>
    <xf numFmtId="0" fontId="0" fillId="0" borderId="1" xfId="0" applyBorder="1" applyAlignment="1">
      <alignment horizontal="center"/>
    </xf>
    <xf numFmtId="188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4"/>
  <sheetViews>
    <sheetView tabSelected="1" topLeftCell="C20" zoomScale="65" workbookViewId="0">
      <selection activeCell="H52" sqref="H52"/>
    </sheetView>
  </sheetViews>
  <sheetFormatPr defaultRowHeight="15" x14ac:dyDescent="0.25"/>
  <cols>
    <col min="1" max="1" width="5.7265625" bestFit="1" customWidth="1"/>
    <col min="3" max="3" width="20.90625" customWidth="1"/>
    <col min="4" max="5" width="8.81640625" bestFit="1" customWidth="1"/>
    <col min="6" max="6" width="12.36328125" bestFit="1" customWidth="1"/>
    <col min="7" max="7" width="16.26953125" bestFit="1" customWidth="1"/>
    <col min="8" max="8" width="22.1796875" bestFit="1" customWidth="1"/>
    <col min="9" max="9" width="9.7265625" bestFit="1" customWidth="1"/>
  </cols>
  <sheetData>
    <row r="1" spans="1:9" ht="17.399999999999999" x14ac:dyDescent="0.3">
      <c r="A1" s="1" t="s">
        <v>88</v>
      </c>
      <c r="B1" s="1" t="s">
        <v>91</v>
      </c>
      <c r="C1" s="1" t="s">
        <v>92</v>
      </c>
      <c r="D1" s="1" t="s">
        <v>93</v>
      </c>
      <c r="E1" s="1" t="s">
        <v>94</v>
      </c>
      <c r="F1" s="3" t="s">
        <v>95</v>
      </c>
      <c r="G1" s="3" t="s">
        <v>159</v>
      </c>
      <c r="H1" s="1" t="s">
        <v>89</v>
      </c>
      <c r="I1" s="2" t="s">
        <v>90</v>
      </c>
    </row>
    <row r="2" spans="1:9" ht="18" x14ac:dyDescent="0.35">
      <c r="A2" s="4">
        <v>1</v>
      </c>
      <c r="B2" s="4" t="s">
        <v>98</v>
      </c>
      <c r="C2" s="4" t="s">
        <v>99</v>
      </c>
      <c r="D2" s="4" t="s">
        <v>100</v>
      </c>
      <c r="E2" s="6">
        <v>32</v>
      </c>
      <c r="F2" s="7">
        <f>G2/E2</f>
        <v>78125</v>
      </c>
      <c r="G2" s="7">
        <v>2500000</v>
      </c>
      <c r="H2" s="4" t="s">
        <v>96</v>
      </c>
      <c r="I2" s="5" t="s">
        <v>97</v>
      </c>
    </row>
    <row r="3" spans="1:9" ht="18" x14ac:dyDescent="0.35">
      <c r="A3" s="4">
        <v>2</v>
      </c>
      <c r="B3" s="4" t="s">
        <v>98</v>
      </c>
      <c r="C3" s="4" t="s">
        <v>102</v>
      </c>
      <c r="D3" s="4" t="s">
        <v>103</v>
      </c>
      <c r="E3" s="6">
        <v>24.87</v>
      </c>
      <c r="F3" s="7">
        <f>G3/E3</f>
        <v>41093.687173301165</v>
      </c>
      <c r="G3" s="7">
        <v>1022000</v>
      </c>
      <c r="H3" s="4" t="s">
        <v>96</v>
      </c>
      <c r="I3" s="5" t="s">
        <v>101</v>
      </c>
    </row>
    <row r="4" spans="1:9" ht="18" x14ac:dyDescent="0.35">
      <c r="A4" s="4">
        <v>3</v>
      </c>
      <c r="B4" s="4" t="s">
        <v>98</v>
      </c>
      <c r="C4" s="4" t="s">
        <v>104</v>
      </c>
      <c r="D4" s="4">
        <v>3006</v>
      </c>
      <c r="E4" s="6">
        <v>34.61</v>
      </c>
      <c r="F4" s="7">
        <f>G4/E4</f>
        <v>84000</v>
      </c>
      <c r="G4" s="7">
        <v>2907240</v>
      </c>
      <c r="H4" s="4" t="s">
        <v>96</v>
      </c>
      <c r="I4" s="5" t="s">
        <v>97</v>
      </c>
    </row>
    <row r="5" spans="1:9" ht="18" x14ac:dyDescent="0.35">
      <c r="A5" s="4">
        <v>4</v>
      </c>
      <c r="B5" s="4" t="s">
        <v>98</v>
      </c>
      <c r="C5" s="4" t="s">
        <v>104</v>
      </c>
      <c r="D5" s="4">
        <v>3012</v>
      </c>
      <c r="E5" s="6">
        <v>35.32</v>
      </c>
      <c r="F5" s="7">
        <v>84000</v>
      </c>
      <c r="G5" s="7">
        <f>E5*F5</f>
        <v>2966880</v>
      </c>
      <c r="H5" s="4" t="s">
        <v>96</v>
      </c>
      <c r="I5" s="5" t="s">
        <v>97</v>
      </c>
    </row>
    <row r="6" spans="1:9" ht="18" x14ac:dyDescent="0.35">
      <c r="A6" s="4">
        <v>5</v>
      </c>
      <c r="B6" s="4" t="s">
        <v>98</v>
      </c>
      <c r="C6" s="4" t="s">
        <v>104</v>
      </c>
      <c r="D6" s="4">
        <v>3109</v>
      </c>
      <c r="E6" s="6">
        <v>34.869999999999997</v>
      </c>
      <c r="F6" s="7">
        <v>84500</v>
      </c>
      <c r="G6" s="7">
        <f>E6*F6</f>
        <v>2946515</v>
      </c>
      <c r="H6" s="4" t="s">
        <v>96</v>
      </c>
      <c r="I6" s="5" t="s">
        <v>97</v>
      </c>
    </row>
    <row r="7" spans="1:9" ht="18" x14ac:dyDescent="0.35">
      <c r="A7" s="4">
        <v>6</v>
      </c>
      <c r="B7" s="4" t="s">
        <v>98</v>
      </c>
      <c r="C7" s="4" t="s">
        <v>104</v>
      </c>
      <c r="D7" s="4">
        <v>3111</v>
      </c>
      <c r="E7" s="6">
        <v>34.869999999999997</v>
      </c>
      <c r="F7" s="8">
        <v>84500</v>
      </c>
      <c r="G7" s="8">
        <f>E7*F7</f>
        <v>2946515</v>
      </c>
      <c r="H7" s="4" t="s">
        <v>96</v>
      </c>
      <c r="I7" s="5" t="s">
        <v>97</v>
      </c>
    </row>
    <row r="8" spans="1:9" ht="18" x14ac:dyDescent="0.35">
      <c r="A8" s="4">
        <v>7</v>
      </c>
      <c r="B8" s="4" t="s">
        <v>98</v>
      </c>
      <c r="C8" s="4" t="s">
        <v>105</v>
      </c>
      <c r="D8" s="4" t="s">
        <v>106</v>
      </c>
      <c r="E8" s="6">
        <v>28</v>
      </c>
      <c r="F8" s="7">
        <f>G8/E8</f>
        <v>60714.285714285717</v>
      </c>
      <c r="G8" s="7">
        <v>1700000</v>
      </c>
      <c r="H8" s="4"/>
      <c r="I8" s="5"/>
    </row>
    <row r="9" spans="1:9" ht="18" x14ac:dyDescent="0.35">
      <c r="A9" s="4">
        <v>8</v>
      </c>
      <c r="B9" s="4" t="s">
        <v>98</v>
      </c>
      <c r="C9" s="4" t="s">
        <v>108</v>
      </c>
      <c r="D9" s="4" t="s">
        <v>109</v>
      </c>
      <c r="E9" s="6">
        <v>31</v>
      </c>
      <c r="F9" s="8">
        <f>G9/E9</f>
        <v>17741.935483870966</v>
      </c>
      <c r="G9" s="8">
        <v>550000</v>
      </c>
      <c r="H9" s="4" t="s">
        <v>107</v>
      </c>
      <c r="I9" s="5">
        <v>240823</v>
      </c>
    </row>
    <row r="10" spans="1:9" ht="18" x14ac:dyDescent="0.35">
      <c r="A10" s="4">
        <v>9</v>
      </c>
      <c r="B10" s="4" t="s">
        <v>98</v>
      </c>
      <c r="C10" s="4" t="s">
        <v>108</v>
      </c>
      <c r="D10" s="4" t="s">
        <v>110</v>
      </c>
      <c r="E10" s="6">
        <v>31</v>
      </c>
      <c r="F10" s="7">
        <f t="shared" ref="F10:F13" si="0">G10/E10</f>
        <v>16774.193548387098</v>
      </c>
      <c r="G10" s="7">
        <v>520000</v>
      </c>
      <c r="H10" s="4" t="s">
        <v>107</v>
      </c>
      <c r="I10" s="5">
        <v>240823</v>
      </c>
    </row>
    <row r="11" spans="1:9" ht="18" x14ac:dyDescent="0.35">
      <c r="A11" s="4">
        <v>10</v>
      </c>
      <c r="B11" s="4" t="s">
        <v>98</v>
      </c>
      <c r="C11" s="4" t="s">
        <v>111</v>
      </c>
      <c r="D11" s="4" t="s">
        <v>112</v>
      </c>
      <c r="E11" s="6">
        <v>58.38</v>
      </c>
      <c r="F11" s="7">
        <f t="shared" si="0"/>
        <v>25693.730729701951</v>
      </c>
      <c r="G11" s="7">
        <v>1500000</v>
      </c>
      <c r="H11" s="4" t="s">
        <v>107</v>
      </c>
      <c r="I11" s="5">
        <v>240823</v>
      </c>
    </row>
    <row r="12" spans="1:9" ht="18" x14ac:dyDescent="0.35">
      <c r="A12" s="4">
        <v>11</v>
      </c>
      <c r="B12" s="4" t="s">
        <v>98</v>
      </c>
      <c r="C12" s="4" t="s">
        <v>111</v>
      </c>
      <c r="D12" s="4" t="s">
        <v>113</v>
      </c>
      <c r="E12" s="6">
        <v>55.48</v>
      </c>
      <c r="F12" s="7">
        <f t="shared" si="0"/>
        <v>27036.770007209805</v>
      </c>
      <c r="G12" s="7">
        <v>1500000</v>
      </c>
      <c r="H12" s="4" t="s">
        <v>107</v>
      </c>
      <c r="I12" s="5">
        <v>241008</v>
      </c>
    </row>
    <row r="13" spans="1:9" ht="18" x14ac:dyDescent="0.35">
      <c r="A13" s="9">
        <v>12</v>
      </c>
      <c r="B13" s="9" t="s">
        <v>98</v>
      </c>
      <c r="C13" s="9" t="s">
        <v>111</v>
      </c>
      <c r="D13" s="9" t="s">
        <v>114</v>
      </c>
      <c r="E13" s="11">
        <v>60.15</v>
      </c>
      <c r="F13" s="12">
        <f t="shared" si="0"/>
        <v>34912.718204488781</v>
      </c>
      <c r="G13" s="12">
        <v>2100000</v>
      </c>
      <c r="H13" s="9" t="s">
        <v>107</v>
      </c>
      <c r="I13" s="10">
        <v>241008</v>
      </c>
    </row>
    <row r="14" spans="1:9" ht="18" x14ac:dyDescent="0.35">
      <c r="A14" s="13">
        <v>13</v>
      </c>
      <c r="B14" s="13" t="s">
        <v>116</v>
      </c>
      <c r="C14" s="13" t="s">
        <v>117</v>
      </c>
      <c r="D14" s="13" t="s">
        <v>118</v>
      </c>
      <c r="E14" s="16">
        <v>82</v>
      </c>
      <c r="F14" s="17">
        <v>150000</v>
      </c>
      <c r="G14" s="17">
        <f t="shared" ref="G14:G18" si="1">E14*F14</f>
        <v>12300000</v>
      </c>
      <c r="H14" s="14" t="s">
        <v>115</v>
      </c>
      <c r="I14" s="15">
        <v>20668</v>
      </c>
    </row>
    <row r="15" spans="1:9" ht="18" x14ac:dyDescent="0.35">
      <c r="A15" s="13">
        <v>14</v>
      </c>
      <c r="B15" s="13" t="s">
        <v>116</v>
      </c>
      <c r="C15" s="13" t="s">
        <v>117</v>
      </c>
      <c r="D15" s="13" t="s">
        <v>120</v>
      </c>
      <c r="E15" s="16">
        <v>82</v>
      </c>
      <c r="F15" s="17">
        <v>141541.32</v>
      </c>
      <c r="G15" s="17">
        <f t="shared" si="1"/>
        <v>11606388.24</v>
      </c>
      <c r="H15" s="14" t="s">
        <v>115</v>
      </c>
      <c r="I15" s="15" t="s">
        <v>119</v>
      </c>
    </row>
    <row r="16" spans="1:9" ht="18" x14ac:dyDescent="0.35">
      <c r="A16" s="13">
        <v>15</v>
      </c>
      <c r="B16" s="13" t="s">
        <v>116</v>
      </c>
      <c r="C16" s="13" t="s">
        <v>117</v>
      </c>
      <c r="D16" s="13" t="s">
        <v>121</v>
      </c>
      <c r="E16" s="16">
        <v>33</v>
      </c>
      <c r="F16" s="17">
        <v>80909</v>
      </c>
      <c r="G16" s="17">
        <f>E16*F16</f>
        <v>2669997</v>
      </c>
      <c r="H16" s="13" t="s">
        <v>115</v>
      </c>
      <c r="I16" s="15">
        <v>20668</v>
      </c>
    </row>
    <row r="17" spans="1:9" ht="18" x14ac:dyDescent="0.35">
      <c r="A17" s="13">
        <v>16</v>
      </c>
      <c r="B17" s="13" t="s">
        <v>116</v>
      </c>
      <c r="C17" s="13" t="s">
        <v>122</v>
      </c>
      <c r="D17" s="13">
        <v>3004</v>
      </c>
      <c r="E17" s="16">
        <v>54.5</v>
      </c>
      <c r="F17" s="17"/>
      <c r="G17" s="17">
        <f>E17*F17</f>
        <v>0</v>
      </c>
      <c r="H17" s="13" t="s">
        <v>115</v>
      </c>
      <c r="I17" s="15">
        <v>20668</v>
      </c>
    </row>
    <row r="18" spans="1:9" ht="18" x14ac:dyDescent="0.35">
      <c r="A18" s="9">
        <v>17</v>
      </c>
      <c r="B18" s="9" t="s">
        <v>116</v>
      </c>
      <c r="C18" s="9" t="s">
        <v>117</v>
      </c>
      <c r="D18" s="9" t="s">
        <v>124</v>
      </c>
      <c r="E18" s="11">
        <v>97.52</v>
      </c>
      <c r="F18" s="12">
        <v>157812</v>
      </c>
      <c r="G18" s="12">
        <f t="shared" si="1"/>
        <v>15389826.24</v>
      </c>
      <c r="H18" s="9" t="s">
        <v>123</v>
      </c>
      <c r="I18" s="10">
        <v>241800</v>
      </c>
    </row>
    <row r="19" spans="1:9" ht="18" x14ac:dyDescent="0.35">
      <c r="A19" s="13">
        <v>18</v>
      </c>
      <c r="B19" s="13" t="s">
        <v>127</v>
      </c>
      <c r="C19" s="13" t="s">
        <v>128</v>
      </c>
      <c r="D19" s="13">
        <v>97</v>
      </c>
      <c r="E19" s="16">
        <v>50.09</v>
      </c>
      <c r="F19" s="17">
        <f>G19/E19</f>
        <v>66605.110800558992</v>
      </c>
      <c r="G19" s="17">
        <v>3336250</v>
      </c>
      <c r="H19" s="13" t="s">
        <v>125</v>
      </c>
      <c r="I19" s="15" t="s">
        <v>126</v>
      </c>
    </row>
    <row r="20" spans="1:9" ht="18" x14ac:dyDescent="0.35">
      <c r="A20" s="4">
        <v>19</v>
      </c>
      <c r="B20" s="4" t="s">
        <v>127</v>
      </c>
      <c r="C20" s="4" t="s">
        <v>128</v>
      </c>
      <c r="D20" s="4">
        <v>98</v>
      </c>
      <c r="E20" s="6">
        <v>28.6</v>
      </c>
      <c r="F20" s="7">
        <f t="shared" ref="F20:F22" si="2">G20/E20</f>
        <v>63951.04895104895</v>
      </c>
      <c r="G20" s="8">
        <v>1829000</v>
      </c>
      <c r="H20" s="4" t="s">
        <v>125</v>
      </c>
      <c r="I20" s="5" t="s">
        <v>126</v>
      </c>
    </row>
    <row r="21" spans="1:9" ht="18" x14ac:dyDescent="0.35">
      <c r="A21" s="4">
        <v>20</v>
      </c>
      <c r="B21" s="4" t="s">
        <v>127</v>
      </c>
      <c r="C21" s="4" t="s">
        <v>128</v>
      </c>
      <c r="D21" s="4">
        <v>112</v>
      </c>
      <c r="E21" s="6">
        <v>50.09</v>
      </c>
      <c r="F21" s="7">
        <f t="shared" si="2"/>
        <v>67004.392094230381</v>
      </c>
      <c r="G21" s="8">
        <v>3356250</v>
      </c>
      <c r="H21" s="4" t="s">
        <v>125</v>
      </c>
      <c r="I21" s="5" t="s">
        <v>126</v>
      </c>
    </row>
    <row r="22" spans="1:9" ht="18" x14ac:dyDescent="0.35">
      <c r="A22" s="4">
        <v>21</v>
      </c>
      <c r="B22" s="4" t="s">
        <v>127</v>
      </c>
      <c r="C22" s="4" t="s">
        <v>128</v>
      </c>
      <c r="D22" s="4">
        <v>113</v>
      </c>
      <c r="E22" s="6">
        <v>28.6</v>
      </c>
      <c r="F22" s="7">
        <f t="shared" si="2"/>
        <v>64650.34965034965</v>
      </c>
      <c r="G22" s="8">
        <v>1849000</v>
      </c>
      <c r="H22" s="4" t="s">
        <v>125</v>
      </c>
      <c r="I22" s="5" t="s">
        <v>126</v>
      </c>
    </row>
    <row r="23" spans="1:9" ht="18" x14ac:dyDescent="0.35">
      <c r="A23" s="4">
        <v>22</v>
      </c>
      <c r="B23" s="4" t="s">
        <v>127</v>
      </c>
      <c r="C23" s="4" t="s">
        <v>129</v>
      </c>
      <c r="D23" s="4" t="s">
        <v>130</v>
      </c>
      <c r="E23" s="6">
        <v>50</v>
      </c>
      <c r="F23" s="7">
        <f>G23/E23</f>
        <v>73000</v>
      </c>
      <c r="G23" s="7">
        <v>3650000</v>
      </c>
      <c r="H23" s="4" t="s">
        <v>123</v>
      </c>
      <c r="I23" s="18">
        <v>241491</v>
      </c>
    </row>
    <row r="24" spans="1:9" ht="18" x14ac:dyDescent="0.35">
      <c r="A24" s="4">
        <v>23</v>
      </c>
      <c r="B24" s="4" t="s">
        <v>127</v>
      </c>
      <c r="C24" s="4" t="s">
        <v>129</v>
      </c>
      <c r="D24" s="4" t="s">
        <v>133</v>
      </c>
      <c r="E24" s="6">
        <v>80</v>
      </c>
      <c r="F24" s="7">
        <f t="shared" ref="F24:F30" si="3">G24/E24</f>
        <v>73000</v>
      </c>
      <c r="G24" s="7">
        <v>5840000</v>
      </c>
      <c r="H24" s="4" t="s">
        <v>131</v>
      </c>
      <c r="I24" s="5" t="s">
        <v>132</v>
      </c>
    </row>
    <row r="25" spans="1:9" ht="18" x14ac:dyDescent="0.35">
      <c r="A25" s="4">
        <v>24</v>
      </c>
      <c r="B25" s="4" t="s">
        <v>127</v>
      </c>
      <c r="C25" s="4" t="s">
        <v>129</v>
      </c>
      <c r="D25" s="4" t="s">
        <v>134</v>
      </c>
      <c r="E25" s="6">
        <v>50</v>
      </c>
      <c r="F25" s="7">
        <f t="shared" si="3"/>
        <v>73000</v>
      </c>
      <c r="G25" s="7">
        <v>3650000</v>
      </c>
      <c r="H25" s="4" t="s">
        <v>131</v>
      </c>
      <c r="I25" s="18">
        <v>241491</v>
      </c>
    </row>
    <row r="26" spans="1:9" ht="18" x14ac:dyDescent="0.35">
      <c r="A26" s="4">
        <v>25</v>
      </c>
      <c r="B26" s="4" t="s">
        <v>127</v>
      </c>
      <c r="C26" s="4" t="s">
        <v>129</v>
      </c>
      <c r="D26" s="4" t="s">
        <v>135</v>
      </c>
      <c r="E26" s="6">
        <v>50</v>
      </c>
      <c r="F26" s="7">
        <f t="shared" si="3"/>
        <v>73000</v>
      </c>
      <c r="G26" s="7">
        <v>3650000</v>
      </c>
      <c r="H26" s="4" t="s">
        <v>123</v>
      </c>
      <c r="I26" s="5" t="s">
        <v>132</v>
      </c>
    </row>
    <row r="27" spans="1:9" ht="18" x14ac:dyDescent="0.35">
      <c r="A27" s="4">
        <v>26</v>
      </c>
      <c r="B27" s="4" t="s">
        <v>127</v>
      </c>
      <c r="C27" s="4" t="s">
        <v>129</v>
      </c>
      <c r="D27" s="4" t="s">
        <v>136</v>
      </c>
      <c r="E27" s="6">
        <v>80</v>
      </c>
      <c r="F27" s="7">
        <f t="shared" si="3"/>
        <v>73000</v>
      </c>
      <c r="G27" s="7">
        <v>5840000</v>
      </c>
      <c r="H27" s="4" t="s">
        <v>123</v>
      </c>
      <c r="I27" s="18">
        <v>241491</v>
      </c>
    </row>
    <row r="28" spans="1:9" ht="18" x14ac:dyDescent="0.35">
      <c r="A28" s="4">
        <v>27</v>
      </c>
      <c r="B28" s="4" t="s">
        <v>127</v>
      </c>
      <c r="C28" s="4" t="s">
        <v>129</v>
      </c>
      <c r="D28" s="4" t="s">
        <v>137</v>
      </c>
      <c r="E28" s="6">
        <v>50</v>
      </c>
      <c r="F28" s="7">
        <f t="shared" si="3"/>
        <v>73000</v>
      </c>
      <c r="G28" s="7">
        <v>3650000</v>
      </c>
      <c r="H28" s="4" t="s">
        <v>131</v>
      </c>
      <c r="I28" s="5" t="s">
        <v>132</v>
      </c>
    </row>
    <row r="29" spans="1:9" ht="18" x14ac:dyDescent="0.35">
      <c r="A29" s="4">
        <v>28</v>
      </c>
      <c r="B29" s="4" t="s">
        <v>127</v>
      </c>
      <c r="C29" s="4" t="s">
        <v>129</v>
      </c>
      <c r="D29" s="4" t="s">
        <v>138</v>
      </c>
      <c r="E29" s="6">
        <v>50</v>
      </c>
      <c r="F29" s="7">
        <f t="shared" si="3"/>
        <v>73000</v>
      </c>
      <c r="G29" s="7">
        <v>3650000</v>
      </c>
      <c r="H29" s="4" t="s">
        <v>131</v>
      </c>
      <c r="I29" s="18">
        <v>241491</v>
      </c>
    </row>
    <row r="30" spans="1:9" ht="18" x14ac:dyDescent="0.35">
      <c r="A30" s="4">
        <v>29</v>
      </c>
      <c r="B30" s="4" t="s">
        <v>127</v>
      </c>
      <c r="C30" s="4" t="s">
        <v>129</v>
      </c>
      <c r="D30" s="4" t="s">
        <v>139</v>
      </c>
      <c r="E30" s="6">
        <v>80</v>
      </c>
      <c r="F30" s="7">
        <f t="shared" si="3"/>
        <v>73000</v>
      </c>
      <c r="G30" s="7">
        <v>5840000</v>
      </c>
      <c r="H30" s="4" t="s">
        <v>123</v>
      </c>
      <c r="I30" s="5" t="s">
        <v>132</v>
      </c>
    </row>
    <row r="31" spans="1:9" ht="18" x14ac:dyDescent="0.35">
      <c r="A31" s="4">
        <v>30</v>
      </c>
      <c r="B31" s="4" t="s">
        <v>116</v>
      </c>
      <c r="C31" s="4" t="s">
        <v>140</v>
      </c>
      <c r="D31" s="4" t="s">
        <v>141</v>
      </c>
      <c r="E31" s="6">
        <v>75</v>
      </c>
      <c r="F31" s="7">
        <f>G31/E31</f>
        <v>145228.79999999999</v>
      </c>
      <c r="G31" s="8">
        <v>10892160</v>
      </c>
      <c r="H31" s="4"/>
      <c r="I31" s="5"/>
    </row>
    <row r="32" spans="1:9" ht="18" x14ac:dyDescent="0.35">
      <c r="A32" s="4">
        <v>31</v>
      </c>
      <c r="B32" s="4" t="s">
        <v>116</v>
      </c>
      <c r="C32" s="4" t="s">
        <v>140</v>
      </c>
      <c r="D32" s="4" t="s">
        <v>143</v>
      </c>
      <c r="E32" s="6">
        <v>75</v>
      </c>
      <c r="F32" s="7">
        <f t="shared" ref="F32:F34" si="4">G32/E32</f>
        <v>145737.60000000001</v>
      </c>
      <c r="G32" s="8">
        <v>10930320</v>
      </c>
      <c r="H32" s="4" t="s">
        <v>123</v>
      </c>
      <c r="I32" s="19" t="s">
        <v>142</v>
      </c>
    </row>
    <row r="33" spans="1:9" ht="18" x14ac:dyDescent="0.35">
      <c r="A33" s="4">
        <v>32</v>
      </c>
      <c r="B33" s="4" t="s">
        <v>116</v>
      </c>
      <c r="C33" s="4" t="s">
        <v>145</v>
      </c>
      <c r="D33" s="4" t="s">
        <v>146</v>
      </c>
      <c r="E33" s="6">
        <v>46</v>
      </c>
      <c r="F33" s="7">
        <f t="shared" si="4"/>
        <v>129326.08695652174</v>
      </c>
      <c r="G33" s="7">
        <v>5949000</v>
      </c>
      <c r="H33" s="4" t="s">
        <v>123</v>
      </c>
      <c r="I33" s="19" t="s">
        <v>144</v>
      </c>
    </row>
    <row r="34" spans="1:9" ht="18" x14ac:dyDescent="0.35">
      <c r="A34" s="4">
        <v>33</v>
      </c>
      <c r="B34" s="4" t="s">
        <v>116</v>
      </c>
      <c r="C34" s="4" t="s">
        <v>145</v>
      </c>
      <c r="D34" s="4" t="s">
        <v>147</v>
      </c>
      <c r="E34" s="6">
        <v>46</v>
      </c>
      <c r="F34" s="7">
        <f t="shared" si="4"/>
        <v>129326.08695652174</v>
      </c>
      <c r="G34" s="7">
        <v>5949000</v>
      </c>
      <c r="H34" s="4"/>
      <c r="I34" s="19"/>
    </row>
    <row r="35" spans="1:9" ht="18" x14ac:dyDescent="0.35">
      <c r="A35" s="4">
        <v>34</v>
      </c>
      <c r="B35" s="4" t="s">
        <v>98</v>
      </c>
      <c r="C35" s="4" t="s">
        <v>2</v>
      </c>
      <c r="D35" s="4">
        <v>4209</v>
      </c>
      <c r="E35" s="6">
        <v>26.92</v>
      </c>
      <c r="F35" s="7">
        <f>G35/E35</f>
        <v>148588.41010401188</v>
      </c>
      <c r="G35" s="7">
        <v>4000000</v>
      </c>
      <c r="H35" s="4" t="s">
        <v>123</v>
      </c>
      <c r="I35" s="19" t="s">
        <v>148</v>
      </c>
    </row>
    <row r="36" spans="1:9" ht="18" x14ac:dyDescent="0.35">
      <c r="A36" s="4">
        <v>35</v>
      </c>
      <c r="B36" s="4" t="s">
        <v>98</v>
      </c>
      <c r="C36" s="4" t="s">
        <v>150</v>
      </c>
      <c r="D36" s="4" t="s">
        <v>151</v>
      </c>
      <c r="E36" s="6">
        <v>28.86</v>
      </c>
      <c r="F36" s="7">
        <f t="shared" ref="F36:F43" si="5">G36/E36</f>
        <v>158568.12196812197</v>
      </c>
      <c r="G36" s="7">
        <v>4576276</v>
      </c>
      <c r="H36" s="4" t="s">
        <v>131</v>
      </c>
      <c r="I36" s="19" t="s">
        <v>149</v>
      </c>
    </row>
    <row r="37" spans="1:9" ht="18" x14ac:dyDescent="0.35">
      <c r="A37" s="4">
        <v>36</v>
      </c>
      <c r="B37" s="4" t="s">
        <v>98</v>
      </c>
      <c r="C37" s="4" t="s">
        <v>150</v>
      </c>
      <c r="D37" s="4" t="s">
        <v>152</v>
      </c>
      <c r="E37" s="6">
        <v>28.79</v>
      </c>
      <c r="F37" s="7">
        <f t="shared" si="5"/>
        <v>162111.7054532824</v>
      </c>
      <c r="G37" s="7">
        <v>4667196</v>
      </c>
      <c r="H37" s="4" t="s">
        <v>131</v>
      </c>
      <c r="I37" s="19" t="s">
        <v>149</v>
      </c>
    </row>
    <row r="38" spans="1:9" ht="18" x14ac:dyDescent="0.35">
      <c r="A38" s="4">
        <v>37</v>
      </c>
      <c r="B38" s="4" t="s">
        <v>98</v>
      </c>
      <c r="C38" s="4" t="s">
        <v>150</v>
      </c>
      <c r="D38" s="4" t="s">
        <v>153</v>
      </c>
      <c r="E38" s="6">
        <v>28.79</v>
      </c>
      <c r="F38" s="7">
        <f t="shared" si="5"/>
        <v>161922.26467523447</v>
      </c>
      <c r="G38" s="7">
        <v>4661742</v>
      </c>
      <c r="H38" s="4" t="s">
        <v>123</v>
      </c>
      <c r="I38" s="19" t="s">
        <v>149</v>
      </c>
    </row>
    <row r="39" spans="1:9" ht="18" x14ac:dyDescent="0.35">
      <c r="A39" s="4">
        <v>38</v>
      </c>
      <c r="B39" s="4" t="s">
        <v>98</v>
      </c>
      <c r="C39" s="4" t="s">
        <v>150</v>
      </c>
      <c r="D39" s="4" t="s">
        <v>154</v>
      </c>
      <c r="E39" s="6">
        <v>28.86</v>
      </c>
      <c r="F39" s="7">
        <f t="shared" si="5"/>
        <v>161527.26957726959</v>
      </c>
      <c r="G39" s="7">
        <v>4661677</v>
      </c>
      <c r="H39" s="4" t="s">
        <v>123</v>
      </c>
      <c r="I39" s="19" t="s">
        <v>149</v>
      </c>
    </row>
    <row r="40" spans="1:9" ht="18" x14ac:dyDescent="0.35">
      <c r="A40" s="4">
        <v>39</v>
      </c>
      <c r="B40" s="4" t="s">
        <v>98</v>
      </c>
      <c r="C40" s="4" t="s">
        <v>1</v>
      </c>
      <c r="D40" s="4" t="s">
        <v>156</v>
      </c>
      <c r="E40" s="4">
        <v>35</v>
      </c>
      <c r="F40" s="7">
        <f t="shared" si="5"/>
        <v>143504.82857142857</v>
      </c>
      <c r="G40" s="7">
        <v>5022669</v>
      </c>
      <c r="H40" s="4" t="s">
        <v>123</v>
      </c>
      <c r="I40" s="19" t="s">
        <v>155</v>
      </c>
    </row>
    <row r="41" spans="1:9" ht="18" x14ac:dyDescent="0.35">
      <c r="A41" s="4">
        <v>40</v>
      </c>
      <c r="B41" s="4" t="s">
        <v>98</v>
      </c>
      <c r="C41" s="4" t="s">
        <v>1</v>
      </c>
      <c r="D41" s="4" t="s">
        <v>157</v>
      </c>
      <c r="E41" s="4">
        <v>35</v>
      </c>
      <c r="F41" s="7">
        <f t="shared" si="5"/>
        <v>144672.62857142856</v>
      </c>
      <c r="G41" s="7">
        <v>5063542</v>
      </c>
      <c r="H41" s="4" t="s">
        <v>131</v>
      </c>
      <c r="I41" s="20">
        <v>243893</v>
      </c>
    </row>
    <row r="42" spans="1:9" ht="18" x14ac:dyDescent="0.35">
      <c r="A42" s="4">
        <v>41</v>
      </c>
      <c r="B42" s="4" t="s">
        <v>98</v>
      </c>
      <c r="C42" s="4" t="s">
        <v>1</v>
      </c>
      <c r="D42" s="4" t="s">
        <v>158</v>
      </c>
      <c r="E42" s="4">
        <v>35</v>
      </c>
      <c r="F42" s="7">
        <f t="shared" si="5"/>
        <v>150026.20000000001</v>
      </c>
      <c r="G42" s="7">
        <v>5250917</v>
      </c>
      <c r="H42" s="4" t="s">
        <v>123</v>
      </c>
      <c r="I42" s="20">
        <v>243893</v>
      </c>
    </row>
    <row r="43" spans="1:9" ht="18" x14ac:dyDescent="0.35">
      <c r="A43" s="4">
        <v>42</v>
      </c>
      <c r="B43" s="4" t="s">
        <v>98</v>
      </c>
      <c r="C43" s="4" t="s">
        <v>4</v>
      </c>
      <c r="D43" s="4">
        <v>2022</v>
      </c>
      <c r="E43" s="4">
        <v>22</v>
      </c>
      <c r="F43" s="7">
        <f t="shared" si="5"/>
        <v>127272.72727272728</v>
      </c>
      <c r="G43" s="7">
        <v>2800000</v>
      </c>
      <c r="H43" s="4" t="s">
        <v>123</v>
      </c>
      <c r="I43" s="20">
        <v>244228</v>
      </c>
    </row>
    <row r="44" spans="1:9" ht="18" x14ac:dyDescent="0.35">
      <c r="A44" s="21"/>
      <c r="B44" s="21"/>
      <c r="C44" s="4"/>
      <c r="D44" s="21"/>
      <c r="E44" s="21"/>
      <c r="F44" s="22"/>
      <c r="G44" s="3">
        <f>SUM(G20:G42)+SUM(G2:G12)</f>
        <v>135487899</v>
      </c>
      <c r="H44" s="21"/>
      <c r="I44" s="5"/>
    </row>
  </sheetData>
  <pageMargins left="0.7" right="0.7" top="0.75" bottom="0.75" header="0.3" footer="0.3"/>
  <pageSetup paperSize="9" scale="62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587B-E447-49B1-8935-DA4ABD93FDF9}">
  <dimension ref="A1:F36"/>
  <sheetViews>
    <sheetView workbookViewId="0">
      <selection activeCell="D3" sqref="D3"/>
    </sheetView>
  </sheetViews>
  <sheetFormatPr defaultRowHeight="15" x14ac:dyDescent="0.25"/>
  <cols>
    <col min="3" max="3" width="13.7265625" bestFit="1" customWidth="1"/>
    <col min="4" max="4" width="8.36328125" bestFit="1" customWidth="1"/>
    <col min="5" max="5" width="5.36328125" bestFit="1" customWidth="1"/>
    <col min="6" max="6" width="10.36328125" bestFit="1" customWidth="1"/>
  </cols>
  <sheetData>
    <row r="1" spans="1:6" ht="17.399999999999999" x14ac:dyDescent="0.3">
      <c r="A1" s="1" t="s">
        <v>88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160</v>
      </c>
    </row>
    <row r="2" spans="1:6" ht="18" x14ac:dyDescent="0.35">
      <c r="A2" s="4">
        <v>1</v>
      </c>
      <c r="B2" s="4" t="s">
        <v>98</v>
      </c>
      <c r="C2" s="4" t="s">
        <v>99</v>
      </c>
      <c r="D2" s="4" t="s">
        <v>100</v>
      </c>
      <c r="E2" s="6">
        <v>32</v>
      </c>
      <c r="F2" s="24">
        <v>16000</v>
      </c>
    </row>
    <row r="3" spans="1:6" ht="18" x14ac:dyDescent="0.35">
      <c r="A3" s="4">
        <v>2</v>
      </c>
      <c r="B3" s="4" t="s">
        <v>98</v>
      </c>
      <c r="C3" s="4" t="s">
        <v>102</v>
      </c>
      <c r="D3" s="4" t="s">
        <v>103</v>
      </c>
      <c r="E3" s="6">
        <v>24.87</v>
      </c>
      <c r="F3" s="24">
        <v>8500</v>
      </c>
    </row>
    <row r="4" spans="1:6" ht="18" x14ac:dyDescent="0.35">
      <c r="A4" s="4">
        <v>3</v>
      </c>
      <c r="B4" s="4" t="s">
        <v>98</v>
      </c>
      <c r="C4" s="4" t="s">
        <v>104</v>
      </c>
      <c r="D4" s="4">
        <v>3006</v>
      </c>
      <c r="E4" s="6">
        <v>34.61</v>
      </c>
      <c r="F4" s="24">
        <v>14000</v>
      </c>
    </row>
    <row r="5" spans="1:6" ht="18" x14ac:dyDescent="0.35">
      <c r="A5" s="4">
        <v>4</v>
      </c>
      <c r="B5" s="4" t="s">
        <v>98</v>
      </c>
      <c r="C5" s="4" t="s">
        <v>104</v>
      </c>
      <c r="D5" s="4">
        <v>3012</v>
      </c>
      <c r="E5" s="6">
        <v>35.32</v>
      </c>
      <c r="F5" s="24">
        <v>13000</v>
      </c>
    </row>
    <row r="6" spans="1:6" ht="18" x14ac:dyDescent="0.35">
      <c r="A6" s="4">
        <v>5</v>
      </c>
      <c r="B6" s="4" t="s">
        <v>98</v>
      </c>
      <c r="C6" s="4" t="s">
        <v>104</v>
      </c>
      <c r="D6" s="4">
        <v>3109</v>
      </c>
      <c r="E6" s="6">
        <v>34.869999999999997</v>
      </c>
      <c r="F6" s="24">
        <v>12000</v>
      </c>
    </row>
    <row r="7" spans="1:6" ht="18" x14ac:dyDescent="0.35">
      <c r="A7" s="4">
        <v>6</v>
      </c>
      <c r="B7" s="4" t="s">
        <v>98</v>
      </c>
      <c r="C7" s="4" t="s">
        <v>104</v>
      </c>
      <c r="D7" s="4">
        <v>3111</v>
      </c>
      <c r="E7" s="6">
        <v>34.869999999999997</v>
      </c>
      <c r="F7" s="24">
        <v>12000</v>
      </c>
    </row>
    <row r="8" spans="1:6" ht="18" x14ac:dyDescent="0.35">
      <c r="A8" s="4">
        <v>7</v>
      </c>
      <c r="B8" s="4" t="s">
        <v>98</v>
      </c>
      <c r="C8" s="4" t="s">
        <v>105</v>
      </c>
      <c r="D8" s="4" t="s">
        <v>106</v>
      </c>
      <c r="E8" s="6">
        <v>28</v>
      </c>
      <c r="F8" s="24">
        <v>8500</v>
      </c>
    </row>
    <row r="9" spans="1:6" ht="18" x14ac:dyDescent="0.35">
      <c r="A9" s="4">
        <v>8</v>
      </c>
      <c r="B9" s="4" t="s">
        <v>98</v>
      </c>
      <c r="C9" s="4" t="s">
        <v>108</v>
      </c>
      <c r="D9" s="4" t="s">
        <v>109</v>
      </c>
      <c r="E9" s="6">
        <v>31</v>
      </c>
      <c r="F9" s="24">
        <v>3500</v>
      </c>
    </row>
    <row r="10" spans="1:6" ht="18" x14ac:dyDescent="0.35">
      <c r="A10" s="4">
        <v>9</v>
      </c>
      <c r="B10" s="4" t="s">
        <v>98</v>
      </c>
      <c r="C10" s="4" t="s">
        <v>108</v>
      </c>
      <c r="D10" s="4" t="s">
        <v>110</v>
      </c>
      <c r="E10" s="6">
        <v>31</v>
      </c>
      <c r="F10" s="24">
        <v>3500</v>
      </c>
    </row>
    <row r="11" spans="1:6" ht="18" x14ac:dyDescent="0.35">
      <c r="A11" s="4">
        <v>10</v>
      </c>
      <c r="B11" s="4" t="s">
        <v>98</v>
      </c>
      <c r="C11" s="4" t="s">
        <v>111</v>
      </c>
      <c r="D11" s="4" t="s">
        <v>112</v>
      </c>
      <c r="E11" s="6">
        <v>58.38</v>
      </c>
      <c r="F11" s="24"/>
    </row>
    <row r="12" spans="1:6" ht="18" x14ac:dyDescent="0.35">
      <c r="A12" s="4">
        <v>11</v>
      </c>
      <c r="B12" s="4" t="s">
        <v>98</v>
      </c>
      <c r="C12" s="4" t="s">
        <v>111</v>
      </c>
      <c r="D12" s="4" t="s">
        <v>113</v>
      </c>
      <c r="E12" s="6">
        <v>55.48</v>
      </c>
      <c r="F12" s="24"/>
    </row>
    <row r="13" spans="1:6" ht="18" x14ac:dyDescent="0.35">
      <c r="A13" s="9">
        <v>12</v>
      </c>
      <c r="B13" s="9" t="s">
        <v>98</v>
      </c>
      <c r="C13" s="9" t="s">
        <v>111</v>
      </c>
      <c r="D13" s="9" t="s">
        <v>114</v>
      </c>
      <c r="E13" s="11">
        <v>60.15</v>
      </c>
      <c r="F13" s="24" t="s">
        <v>164</v>
      </c>
    </row>
    <row r="14" spans="1:6" ht="18" x14ac:dyDescent="0.35">
      <c r="A14" s="13">
        <v>13</v>
      </c>
      <c r="B14" s="13" t="s">
        <v>116</v>
      </c>
      <c r="C14" s="13" t="s">
        <v>117</v>
      </c>
      <c r="D14" s="13" t="s">
        <v>118</v>
      </c>
      <c r="E14" s="16">
        <v>82</v>
      </c>
      <c r="F14" s="24" t="s">
        <v>164</v>
      </c>
    </row>
    <row r="15" spans="1:6" ht="18" x14ac:dyDescent="0.35">
      <c r="A15" s="13">
        <v>14</v>
      </c>
      <c r="B15" s="13" t="s">
        <v>116</v>
      </c>
      <c r="C15" s="13" t="s">
        <v>117</v>
      </c>
      <c r="D15" s="13" t="s">
        <v>120</v>
      </c>
      <c r="E15" s="16">
        <v>82</v>
      </c>
      <c r="F15" s="24" t="s">
        <v>164</v>
      </c>
    </row>
    <row r="16" spans="1:6" ht="18" x14ac:dyDescent="0.35">
      <c r="A16" s="13">
        <v>15</v>
      </c>
      <c r="B16" s="13" t="s">
        <v>116</v>
      </c>
      <c r="C16" s="13" t="s">
        <v>117</v>
      </c>
      <c r="D16" s="13" t="s">
        <v>121</v>
      </c>
      <c r="E16" s="16">
        <v>33</v>
      </c>
      <c r="F16" s="24" t="s">
        <v>164</v>
      </c>
    </row>
    <row r="17" spans="1:6" ht="18" x14ac:dyDescent="0.35">
      <c r="A17" s="13">
        <v>16</v>
      </c>
      <c r="B17" s="13" t="s">
        <v>116</v>
      </c>
      <c r="C17" s="13" t="s">
        <v>122</v>
      </c>
      <c r="D17" s="13">
        <v>3004</v>
      </c>
      <c r="E17" s="16">
        <v>54.5</v>
      </c>
      <c r="F17" s="24" t="s">
        <v>164</v>
      </c>
    </row>
    <row r="18" spans="1:6" ht="18" x14ac:dyDescent="0.35">
      <c r="A18" s="9">
        <v>17</v>
      </c>
      <c r="B18" s="9" t="s">
        <v>116</v>
      </c>
      <c r="C18" s="9" t="s">
        <v>117</v>
      </c>
      <c r="D18" s="9" t="s">
        <v>124</v>
      </c>
      <c r="E18" s="11">
        <v>97.52</v>
      </c>
      <c r="F18" s="24" t="s">
        <v>164</v>
      </c>
    </row>
    <row r="19" spans="1:6" ht="18" x14ac:dyDescent="0.35">
      <c r="A19" s="13">
        <v>18</v>
      </c>
      <c r="B19" s="13" t="s">
        <v>127</v>
      </c>
      <c r="C19" s="13" t="s">
        <v>128</v>
      </c>
      <c r="D19" s="13">
        <v>97</v>
      </c>
      <c r="E19" s="16">
        <v>50.09</v>
      </c>
      <c r="F19" s="24" t="s">
        <v>164</v>
      </c>
    </row>
    <row r="20" spans="1:6" ht="18" x14ac:dyDescent="0.35">
      <c r="A20" s="4">
        <v>19</v>
      </c>
      <c r="B20" s="4" t="s">
        <v>127</v>
      </c>
      <c r="C20" s="4" t="s">
        <v>128</v>
      </c>
      <c r="D20" s="4">
        <v>98</v>
      </c>
      <c r="E20" s="6">
        <v>28.6</v>
      </c>
      <c r="F20" s="24">
        <v>7000</v>
      </c>
    </row>
    <row r="21" spans="1:6" ht="18" x14ac:dyDescent="0.35">
      <c r="A21" s="4">
        <v>20</v>
      </c>
      <c r="B21" s="4" t="s">
        <v>127</v>
      </c>
      <c r="C21" s="4" t="s">
        <v>128</v>
      </c>
      <c r="D21" s="4">
        <v>112</v>
      </c>
      <c r="E21" s="6">
        <v>50.09</v>
      </c>
      <c r="F21" s="24">
        <v>14000</v>
      </c>
    </row>
    <row r="22" spans="1:6" ht="18" x14ac:dyDescent="0.35">
      <c r="A22" s="4">
        <v>21</v>
      </c>
      <c r="B22" s="4" t="s">
        <v>127</v>
      </c>
      <c r="C22" s="4" t="s">
        <v>128</v>
      </c>
      <c r="D22" s="4">
        <v>113</v>
      </c>
      <c r="E22" s="6">
        <v>28.6</v>
      </c>
      <c r="F22" s="24">
        <v>7000</v>
      </c>
    </row>
    <row r="23" spans="1:6" ht="18" x14ac:dyDescent="0.35">
      <c r="A23" s="4">
        <v>30</v>
      </c>
      <c r="B23" s="4" t="s">
        <v>116</v>
      </c>
      <c r="C23" s="4" t="s">
        <v>140</v>
      </c>
      <c r="D23" s="4" t="s">
        <v>141</v>
      </c>
      <c r="E23" s="6">
        <v>75</v>
      </c>
      <c r="F23" s="24">
        <v>50000</v>
      </c>
    </row>
    <row r="24" spans="1:6" ht="18" x14ac:dyDescent="0.35">
      <c r="A24" s="4">
        <v>31</v>
      </c>
      <c r="B24" s="4" t="s">
        <v>116</v>
      </c>
      <c r="C24" s="4" t="s">
        <v>140</v>
      </c>
      <c r="D24" s="4" t="s">
        <v>143</v>
      </c>
      <c r="E24" s="6">
        <v>75</v>
      </c>
      <c r="F24" s="24">
        <v>50000</v>
      </c>
    </row>
    <row r="25" spans="1:6" ht="18" x14ac:dyDescent="0.35">
      <c r="A25" s="4">
        <v>32</v>
      </c>
      <c r="B25" s="4" t="s">
        <v>116</v>
      </c>
      <c r="C25" s="4" t="s">
        <v>145</v>
      </c>
      <c r="D25" s="4" t="s">
        <v>146</v>
      </c>
      <c r="E25" s="6">
        <v>46</v>
      </c>
      <c r="F25" s="24">
        <v>25000</v>
      </c>
    </row>
    <row r="26" spans="1:6" ht="18" x14ac:dyDescent="0.35">
      <c r="A26" s="4">
        <v>33</v>
      </c>
      <c r="B26" s="4" t="s">
        <v>116</v>
      </c>
      <c r="C26" s="4" t="s">
        <v>145</v>
      </c>
      <c r="D26" s="4" t="s">
        <v>147</v>
      </c>
      <c r="E26" s="6">
        <v>46</v>
      </c>
      <c r="F26" s="24">
        <v>25000</v>
      </c>
    </row>
    <row r="27" spans="1:6" ht="18" x14ac:dyDescent="0.35">
      <c r="A27" s="4">
        <v>34</v>
      </c>
      <c r="B27" s="4" t="s">
        <v>98</v>
      </c>
      <c r="C27" s="4" t="s">
        <v>2</v>
      </c>
      <c r="D27" s="4">
        <v>4209</v>
      </c>
      <c r="E27" s="6">
        <v>26.92</v>
      </c>
      <c r="F27" s="8">
        <v>18500</v>
      </c>
    </row>
    <row r="28" spans="1:6" ht="18" x14ac:dyDescent="0.35">
      <c r="A28" s="4">
        <v>35</v>
      </c>
      <c r="B28" s="4" t="s">
        <v>98</v>
      </c>
      <c r="C28" s="4" t="s">
        <v>150</v>
      </c>
      <c r="D28" s="4" t="s">
        <v>151</v>
      </c>
      <c r="E28" s="6">
        <v>28.86</v>
      </c>
      <c r="F28" s="24">
        <v>22000</v>
      </c>
    </row>
    <row r="29" spans="1:6" ht="18" x14ac:dyDescent="0.35">
      <c r="A29" s="4">
        <v>36</v>
      </c>
      <c r="B29" s="4" t="s">
        <v>98</v>
      </c>
      <c r="C29" s="4" t="s">
        <v>150</v>
      </c>
      <c r="D29" s="4" t="s">
        <v>152</v>
      </c>
      <c r="E29" s="6">
        <v>28.79</v>
      </c>
      <c r="F29" s="24">
        <v>22000</v>
      </c>
    </row>
    <row r="30" spans="1:6" ht="18" x14ac:dyDescent="0.35">
      <c r="A30" s="4">
        <v>37</v>
      </c>
      <c r="B30" s="4" t="s">
        <v>98</v>
      </c>
      <c r="C30" s="4" t="s">
        <v>150</v>
      </c>
      <c r="D30" s="4" t="s">
        <v>153</v>
      </c>
      <c r="E30" s="6">
        <v>28.79</v>
      </c>
      <c r="F30" s="24">
        <v>22000</v>
      </c>
    </row>
    <row r="31" spans="1:6" ht="18" x14ac:dyDescent="0.35">
      <c r="A31" s="4">
        <v>38</v>
      </c>
      <c r="B31" s="4" t="s">
        <v>98</v>
      </c>
      <c r="C31" s="4" t="s">
        <v>150</v>
      </c>
      <c r="D31" s="4" t="s">
        <v>154</v>
      </c>
      <c r="E31" s="6">
        <v>28.86</v>
      </c>
      <c r="F31" s="24">
        <v>23000</v>
      </c>
    </row>
    <row r="32" spans="1:6" ht="18" x14ac:dyDescent="0.35">
      <c r="A32" s="4">
        <v>39</v>
      </c>
      <c r="B32" s="4" t="s">
        <v>98</v>
      </c>
      <c r="C32" s="4" t="s">
        <v>1</v>
      </c>
      <c r="D32" s="4" t="s">
        <v>156</v>
      </c>
      <c r="E32" s="4">
        <v>35</v>
      </c>
      <c r="F32" s="24">
        <v>25000</v>
      </c>
    </row>
    <row r="33" spans="1:6" ht="18" x14ac:dyDescent="0.35">
      <c r="A33" s="4">
        <v>40</v>
      </c>
      <c r="B33" s="4" t="s">
        <v>98</v>
      </c>
      <c r="C33" s="4" t="s">
        <v>1</v>
      </c>
      <c r="D33" s="4" t="s">
        <v>157</v>
      </c>
      <c r="E33" s="4">
        <v>35</v>
      </c>
      <c r="F33" s="24">
        <v>27000</v>
      </c>
    </row>
    <row r="34" spans="1:6" ht="18" x14ac:dyDescent="0.35">
      <c r="A34" s="4">
        <v>41</v>
      </c>
      <c r="B34" s="4" t="s">
        <v>98</v>
      </c>
      <c r="C34" s="4" t="s">
        <v>1</v>
      </c>
      <c r="D34" s="4" t="s">
        <v>158</v>
      </c>
      <c r="E34" s="4">
        <v>35</v>
      </c>
      <c r="F34" s="24">
        <v>25000</v>
      </c>
    </row>
    <row r="35" spans="1:6" ht="18" x14ac:dyDescent="0.35">
      <c r="A35" s="4">
        <v>42</v>
      </c>
      <c r="B35" s="4" t="s">
        <v>98</v>
      </c>
      <c r="C35" s="4" t="s">
        <v>161</v>
      </c>
      <c r="D35" s="4">
        <v>2022</v>
      </c>
      <c r="E35" s="4">
        <v>22</v>
      </c>
      <c r="F35" s="8">
        <v>16500</v>
      </c>
    </row>
    <row r="36" spans="1:6" ht="18" x14ac:dyDescent="0.35">
      <c r="A36" s="21"/>
      <c r="B36" s="21"/>
      <c r="C36" s="4"/>
      <c r="D36" s="21"/>
      <c r="E36" s="21"/>
      <c r="F36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41CA-7F13-4924-8874-56403E6B1BD0}">
  <dimension ref="A1:C44"/>
  <sheetViews>
    <sheetView workbookViewId="0">
      <selection activeCell="A8" sqref="A8"/>
    </sheetView>
  </sheetViews>
  <sheetFormatPr defaultRowHeight="15" x14ac:dyDescent="0.25"/>
  <cols>
    <col min="2" max="2" width="5.6328125" bestFit="1" customWidth="1"/>
    <col min="3" max="3" width="20.90625" customWidth="1"/>
  </cols>
  <sheetData>
    <row r="1" spans="1:3" ht="17.399999999999999" x14ac:dyDescent="0.3">
      <c r="A1" s="1" t="s">
        <v>93</v>
      </c>
      <c r="B1" s="1" t="s">
        <v>88</v>
      </c>
      <c r="C1" s="1" t="s">
        <v>92</v>
      </c>
    </row>
    <row r="2" spans="1:3" ht="18" x14ac:dyDescent="0.35">
      <c r="A2" s="4" t="s">
        <v>100</v>
      </c>
      <c r="B2" s="4">
        <v>1</v>
      </c>
      <c r="C2" s="4" t="s">
        <v>99</v>
      </c>
    </row>
    <row r="3" spans="1:3" ht="18" x14ac:dyDescent="0.35">
      <c r="A3" s="4" t="s">
        <v>103</v>
      </c>
      <c r="B3" s="4">
        <v>2</v>
      </c>
      <c r="C3" s="4" t="s">
        <v>102</v>
      </c>
    </row>
    <row r="4" spans="1:3" ht="18" x14ac:dyDescent="0.35">
      <c r="A4" s="4">
        <v>3006</v>
      </c>
      <c r="B4" s="4">
        <v>3</v>
      </c>
      <c r="C4" s="4" t="s">
        <v>104</v>
      </c>
    </row>
    <row r="5" spans="1:3" ht="18" x14ac:dyDescent="0.35">
      <c r="A5" s="4">
        <v>3012</v>
      </c>
      <c r="B5" s="4">
        <v>4</v>
      </c>
      <c r="C5" s="4" t="s">
        <v>104</v>
      </c>
    </row>
    <row r="6" spans="1:3" ht="18" x14ac:dyDescent="0.35">
      <c r="A6" s="4">
        <v>3109</v>
      </c>
      <c r="B6" s="4">
        <v>5</v>
      </c>
      <c r="C6" s="4" t="s">
        <v>104</v>
      </c>
    </row>
    <row r="7" spans="1:3" ht="18" x14ac:dyDescent="0.35">
      <c r="A7" s="4">
        <v>3111</v>
      </c>
      <c r="B7" s="4">
        <v>6</v>
      </c>
      <c r="C7" s="4" t="s">
        <v>104</v>
      </c>
    </row>
    <row r="8" spans="1:3" ht="18" x14ac:dyDescent="0.35">
      <c r="A8" s="4" t="s">
        <v>106</v>
      </c>
      <c r="B8" s="4">
        <v>7</v>
      </c>
      <c r="C8" s="4" t="s">
        <v>105</v>
      </c>
    </row>
    <row r="9" spans="1:3" ht="18" x14ac:dyDescent="0.35">
      <c r="A9" s="4" t="s">
        <v>109</v>
      </c>
      <c r="B9" s="4">
        <v>8</v>
      </c>
      <c r="C9" s="4" t="s">
        <v>108</v>
      </c>
    </row>
    <row r="10" spans="1:3" ht="18" x14ac:dyDescent="0.35">
      <c r="A10" s="4" t="s">
        <v>110</v>
      </c>
      <c r="B10" s="4">
        <v>9</v>
      </c>
      <c r="C10" s="4" t="s">
        <v>108</v>
      </c>
    </row>
    <row r="11" spans="1:3" ht="18" x14ac:dyDescent="0.35">
      <c r="A11" s="4" t="s">
        <v>112</v>
      </c>
      <c r="B11" s="4">
        <v>10</v>
      </c>
      <c r="C11" s="4" t="s">
        <v>111</v>
      </c>
    </row>
    <row r="12" spans="1:3" ht="18" x14ac:dyDescent="0.35">
      <c r="A12" s="4" t="s">
        <v>113</v>
      </c>
      <c r="B12" s="4">
        <v>11</v>
      </c>
      <c r="C12" s="4" t="s">
        <v>111</v>
      </c>
    </row>
    <row r="13" spans="1:3" ht="18" x14ac:dyDescent="0.35">
      <c r="A13" s="9" t="s">
        <v>114</v>
      </c>
      <c r="B13" s="9">
        <v>12</v>
      </c>
      <c r="C13" s="9" t="s">
        <v>111</v>
      </c>
    </row>
    <row r="14" spans="1:3" ht="18" x14ac:dyDescent="0.35">
      <c r="A14" s="13" t="s">
        <v>118</v>
      </c>
      <c r="B14" s="13">
        <v>13</v>
      </c>
      <c r="C14" s="13" t="s">
        <v>117</v>
      </c>
    </row>
    <row r="15" spans="1:3" ht="18" x14ac:dyDescent="0.35">
      <c r="A15" s="13" t="s">
        <v>120</v>
      </c>
      <c r="B15" s="13">
        <v>14</v>
      </c>
      <c r="C15" s="13" t="s">
        <v>117</v>
      </c>
    </row>
    <row r="16" spans="1:3" ht="18" x14ac:dyDescent="0.35">
      <c r="A16" s="13" t="s">
        <v>121</v>
      </c>
      <c r="B16" s="13">
        <v>15</v>
      </c>
      <c r="C16" s="13" t="s">
        <v>117</v>
      </c>
    </row>
    <row r="17" spans="1:3" ht="18" x14ac:dyDescent="0.35">
      <c r="A17" s="13">
        <v>3004</v>
      </c>
      <c r="B17" s="13">
        <v>16</v>
      </c>
      <c r="C17" s="13" t="s">
        <v>122</v>
      </c>
    </row>
    <row r="18" spans="1:3" ht="18" x14ac:dyDescent="0.35">
      <c r="A18" s="9" t="s">
        <v>124</v>
      </c>
      <c r="B18" s="9">
        <v>17</v>
      </c>
      <c r="C18" s="9" t="s">
        <v>117</v>
      </c>
    </row>
    <row r="19" spans="1:3" ht="18" x14ac:dyDescent="0.35">
      <c r="A19" s="13">
        <v>97</v>
      </c>
      <c r="B19" s="13">
        <v>18</v>
      </c>
      <c r="C19" s="13" t="s">
        <v>128</v>
      </c>
    </row>
    <row r="20" spans="1:3" ht="18" x14ac:dyDescent="0.35">
      <c r="A20" s="4">
        <v>98</v>
      </c>
      <c r="B20" s="4">
        <v>19</v>
      </c>
      <c r="C20" s="4" t="s">
        <v>128</v>
      </c>
    </row>
    <row r="21" spans="1:3" ht="18" x14ac:dyDescent="0.35">
      <c r="A21" s="4">
        <v>112</v>
      </c>
      <c r="B21" s="4">
        <v>20</v>
      </c>
      <c r="C21" s="4" t="s">
        <v>128</v>
      </c>
    </row>
    <row r="22" spans="1:3" ht="18" x14ac:dyDescent="0.35">
      <c r="A22" s="4">
        <v>113</v>
      </c>
      <c r="B22" s="4">
        <v>21</v>
      </c>
      <c r="C22" s="4" t="s">
        <v>128</v>
      </c>
    </row>
    <row r="23" spans="1:3" ht="18" x14ac:dyDescent="0.35">
      <c r="A23" s="4" t="s">
        <v>130</v>
      </c>
      <c r="B23" s="4">
        <v>22</v>
      </c>
      <c r="C23" s="4" t="s">
        <v>129</v>
      </c>
    </row>
    <row r="24" spans="1:3" ht="18" x14ac:dyDescent="0.35">
      <c r="A24" s="4" t="s">
        <v>133</v>
      </c>
      <c r="B24" s="4">
        <v>23</v>
      </c>
      <c r="C24" s="4" t="s">
        <v>129</v>
      </c>
    </row>
    <row r="25" spans="1:3" ht="18" x14ac:dyDescent="0.35">
      <c r="A25" s="4" t="s">
        <v>134</v>
      </c>
      <c r="B25" s="4">
        <v>24</v>
      </c>
      <c r="C25" s="4" t="s">
        <v>129</v>
      </c>
    </row>
    <row r="26" spans="1:3" ht="18" x14ac:dyDescent="0.35">
      <c r="A26" s="4" t="s">
        <v>135</v>
      </c>
      <c r="B26" s="4">
        <v>25</v>
      </c>
      <c r="C26" s="4" t="s">
        <v>129</v>
      </c>
    </row>
    <row r="27" spans="1:3" ht="18" x14ac:dyDescent="0.35">
      <c r="A27" s="4" t="s">
        <v>136</v>
      </c>
      <c r="B27" s="4">
        <v>26</v>
      </c>
      <c r="C27" s="4" t="s">
        <v>129</v>
      </c>
    </row>
    <row r="28" spans="1:3" ht="18" x14ac:dyDescent="0.35">
      <c r="A28" s="4" t="s">
        <v>137</v>
      </c>
      <c r="B28" s="4">
        <v>27</v>
      </c>
      <c r="C28" s="4" t="s">
        <v>129</v>
      </c>
    </row>
    <row r="29" spans="1:3" ht="18" x14ac:dyDescent="0.35">
      <c r="A29" s="4" t="s">
        <v>138</v>
      </c>
      <c r="B29" s="4">
        <v>28</v>
      </c>
      <c r="C29" s="4" t="s">
        <v>129</v>
      </c>
    </row>
    <row r="30" spans="1:3" ht="18" x14ac:dyDescent="0.35">
      <c r="A30" s="4" t="s">
        <v>139</v>
      </c>
      <c r="B30" s="4">
        <v>29</v>
      </c>
      <c r="C30" s="4" t="s">
        <v>129</v>
      </c>
    </row>
    <row r="31" spans="1:3" ht="18" x14ac:dyDescent="0.35">
      <c r="A31" s="4" t="s">
        <v>141</v>
      </c>
      <c r="B31" s="4">
        <v>30</v>
      </c>
      <c r="C31" s="4" t="s">
        <v>140</v>
      </c>
    </row>
    <row r="32" spans="1:3" ht="18" x14ac:dyDescent="0.35">
      <c r="A32" s="4" t="s">
        <v>143</v>
      </c>
      <c r="B32" s="4">
        <v>31</v>
      </c>
      <c r="C32" s="4" t="s">
        <v>140</v>
      </c>
    </row>
    <row r="33" spans="1:3" ht="18" x14ac:dyDescent="0.35">
      <c r="A33" s="4" t="s">
        <v>146</v>
      </c>
      <c r="B33" s="4">
        <v>32</v>
      </c>
      <c r="C33" s="4" t="s">
        <v>145</v>
      </c>
    </row>
    <row r="34" spans="1:3" ht="18" x14ac:dyDescent="0.35">
      <c r="A34" s="4" t="s">
        <v>147</v>
      </c>
      <c r="B34" s="4">
        <v>33</v>
      </c>
      <c r="C34" s="4" t="s">
        <v>145</v>
      </c>
    </row>
    <row r="35" spans="1:3" ht="18" x14ac:dyDescent="0.35">
      <c r="A35" s="4">
        <v>4209</v>
      </c>
      <c r="B35" s="4">
        <v>34</v>
      </c>
      <c r="C35" s="4" t="s">
        <v>2</v>
      </c>
    </row>
    <row r="36" spans="1:3" ht="18" x14ac:dyDescent="0.35">
      <c r="A36" s="4" t="s">
        <v>151</v>
      </c>
      <c r="B36" s="4">
        <v>35</v>
      </c>
      <c r="C36" s="4" t="s">
        <v>150</v>
      </c>
    </row>
    <row r="37" spans="1:3" ht="18" x14ac:dyDescent="0.35">
      <c r="A37" s="4" t="s">
        <v>152</v>
      </c>
      <c r="B37" s="4">
        <v>36</v>
      </c>
      <c r="C37" s="4" t="s">
        <v>150</v>
      </c>
    </row>
    <row r="38" spans="1:3" ht="18" x14ac:dyDescent="0.35">
      <c r="A38" s="4" t="s">
        <v>153</v>
      </c>
      <c r="B38" s="4">
        <v>37</v>
      </c>
      <c r="C38" s="4" t="s">
        <v>150</v>
      </c>
    </row>
    <row r="39" spans="1:3" ht="18" x14ac:dyDescent="0.35">
      <c r="A39" s="4" t="s">
        <v>154</v>
      </c>
      <c r="B39" s="4">
        <v>38</v>
      </c>
      <c r="C39" s="4" t="s">
        <v>150</v>
      </c>
    </row>
    <row r="40" spans="1:3" ht="18" x14ac:dyDescent="0.35">
      <c r="A40" s="4" t="s">
        <v>156</v>
      </c>
      <c r="B40" s="4">
        <v>39</v>
      </c>
      <c r="C40" s="4" t="s">
        <v>1</v>
      </c>
    </row>
    <row r="41" spans="1:3" ht="18" x14ac:dyDescent="0.35">
      <c r="A41" s="4" t="s">
        <v>157</v>
      </c>
      <c r="B41" s="4">
        <v>40</v>
      </c>
      <c r="C41" s="4" t="s">
        <v>1</v>
      </c>
    </row>
    <row r="42" spans="1:3" ht="18" x14ac:dyDescent="0.35">
      <c r="A42" s="4" t="s">
        <v>158</v>
      </c>
      <c r="B42" s="4">
        <v>41</v>
      </c>
      <c r="C42" s="4" t="s">
        <v>1</v>
      </c>
    </row>
    <row r="43" spans="1:3" ht="18" x14ac:dyDescent="0.35">
      <c r="A43" s="4">
        <v>2022</v>
      </c>
      <c r="B43" s="4">
        <v>42</v>
      </c>
      <c r="C43" s="4" t="s">
        <v>4</v>
      </c>
    </row>
    <row r="44" spans="1:3" ht="18" x14ac:dyDescent="0.35">
      <c r="A44" s="21"/>
      <c r="B44" s="21"/>
      <c r="C4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workbookViewId="0">
      <selection activeCell="B8" sqref="B8"/>
    </sheetView>
  </sheetViews>
  <sheetFormatPr defaultRowHeight="15" x14ac:dyDescent="0.25"/>
  <cols>
    <col min="1" max="1" width="8.54296875" customWidth="1"/>
    <col min="2" max="2" width="6.7265625" customWidth="1"/>
    <col min="3" max="3" width="12.1796875" bestFit="1" customWidth="1"/>
    <col min="4" max="4" width="11.08984375" bestFit="1" customWidth="1"/>
    <col min="5" max="5" width="13.90625" bestFit="1" customWidth="1"/>
    <col min="6" max="6" width="11.7265625" bestFit="1" customWidth="1"/>
    <col min="7" max="7" width="12.08984375" style="23" bestFit="1" customWidth="1"/>
    <col min="8" max="8" width="11.36328125" style="23" bestFit="1" customWidth="1"/>
    <col min="9" max="9" width="10.1796875" bestFit="1" customWidth="1"/>
  </cols>
  <sheetData>
    <row r="1" spans="1:10" x14ac:dyDescent="0.25">
      <c r="A1" t="s">
        <v>184</v>
      </c>
      <c r="B1" t="s">
        <v>185</v>
      </c>
      <c r="C1" s="25" t="s">
        <v>5</v>
      </c>
      <c r="D1" s="25" t="s">
        <v>6</v>
      </c>
      <c r="E1" s="25" t="s">
        <v>17</v>
      </c>
      <c r="F1" s="25" t="s">
        <v>162</v>
      </c>
      <c r="G1" s="26" t="s">
        <v>18</v>
      </c>
      <c r="H1" s="26" t="s">
        <v>19</v>
      </c>
      <c r="I1" s="25" t="s">
        <v>167</v>
      </c>
      <c r="J1" s="25" t="s">
        <v>165</v>
      </c>
    </row>
    <row r="2" spans="1:10" x14ac:dyDescent="0.25">
      <c r="A2">
        <v>1</v>
      </c>
      <c r="B2">
        <f>VLOOKUP(D2,Sheet2!$A$2:$C$44,2, FALSE)</f>
        <v>36</v>
      </c>
      <c r="C2" s="25" t="s">
        <v>0</v>
      </c>
      <c r="D2" s="25" t="s">
        <v>152</v>
      </c>
      <c r="E2" s="25" t="s">
        <v>24</v>
      </c>
      <c r="F2" s="25" t="s">
        <v>25</v>
      </c>
      <c r="G2" s="26" t="s">
        <v>26</v>
      </c>
      <c r="H2" s="26" t="s">
        <v>27</v>
      </c>
      <c r="I2" s="27">
        <v>22000</v>
      </c>
      <c r="J2" s="25" t="s">
        <v>176</v>
      </c>
    </row>
    <row r="3" spans="1:10" x14ac:dyDescent="0.25">
      <c r="A3">
        <v>2</v>
      </c>
      <c r="B3">
        <f>VLOOKUP(D3,Sheet2!$A$2:$C$44,2, FALSE)</f>
        <v>38</v>
      </c>
      <c r="C3" s="25" t="s">
        <v>0</v>
      </c>
      <c r="D3" s="25" t="s">
        <v>154</v>
      </c>
      <c r="E3" s="25" t="s">
        <v>31</v>
      </c>
      <c r="F3" s="25" t="s">
        <v>25</v>
      </c>
      <c r="G3" s="26" t="s">
        <v>32</v>
      </c>
      <c r="H3" s="26" t="s">
        <v>33</v>
      </c>
      <c r="I3" s="27">
        <v>23000</v>
      </c>
      <c r="J3" s="25" t="s">
        <v>175</v>
      </c>
    </row>
    <row r="4" spans="1:10" x14ac:dyDescent="0.25">
      <c r="A4">
        <v>3</v>
      </c>
      <c r="B4">
        <f>VLOOKUP(D4,Sheet2!$A$2:$C$44,2, FALSE)</f>
        <v>6</v>
      </c>
      <c r="C4" s="25" t="s">
        <v>104</v>
      </c>
      <c r="D4" s="25">
        <v>3111</v>
      </c>
      <c r="E4" s="25" t="s">
        <v>174</v>
      </c>
      <c r="F4" s="25" t="s">
        <v>21</v>
      </c>
      <c r="G4" s="26">
        <v>45739</v>
      </c>
      <c r="H4" s="26">
        <v>46103</v>
      </c>
      <c r="I4" s="27">
        <v>12000</v>
      </c>
      <c r="J4" s="25" t="s">
        <v>176</v>
      </c>
    </row>
    <row r="5" spans="1:10" x14ac:dyDescent="0.25">
      <c r="A5">
        <v>4</v>
      </c>
      <c r="B5">
        <f>VLOOKUP(D5,Sheet2!$A$2:$C$44,2, FALSE)</f>
        <v>40</v>
      </c>
      <c r="C5" s="25" t="s">
        <v>1</v>
      </c>
      <c r="D5" s="25" t="s">
        <v>157</v>
      </c>
      <c r="E5" s="25" t="s">
        <v>40</v>
      </c>
      <c r="F5" s="25" t="s">
        <v>21</v>
      </c>
      <c r="G5" s="26" t="s">
        <v>41</v>
      </c>
      <c r="H5" s="26" t="s">
        <v>42</v>
      </c>
      <c r="I5" s="27">
        <v>27000</v>
      </c>
      <c r="J5" s="25" t="s">
        <v>175</v>
      </c>
    </row>
    <row r="6" spans="1:10" x14ac:dyDescent="0.25">
      <c r="A6">
        <v>5</v>
      </c>
      <c r="B6">
        <f>VLOOKUP(D6,Sheet2!$A$2:$C$44,2, FALSE)</f>
        <v>19</v>
      </c>
      <c r="C6" s="25" t="s">
        <v>128</v>
      </c>
      <c r="D6" s="25">
        <v>98</v>
      </c>
      <c r="E6" s="25" t="s">
        <v>178</v>
      </c>
      <c r="F6" s="25" t="s">
        <v>21</v>
      </c>
      <c r="G6" s="26">
        <v>45778</v>
      </c>
      <c r="H6" s="26">
        <v>46142</v>
      </c>
      <c r="I6" s="27">
        <v>7000</v>
      </c>
      <c r="J6" s="25" t="s">
        <v>175</v>
      </c>
    </row>
    <row r="7" spans="1:10" x14ac:dyDescent="0.25">
      <c r="A7">
        <v>6</v>
      </c>
      <c r="B7">
        <f>VLOOKUP(D7,Sheet2!$A$2:$C$44,2, FALSE)</f>
        <v>41</v>
      </c>
      <c r="C7" s="25" t="s">
        <v>1</v>
      </c>
      <c r="D7" s="25" t="s">
        <v>158</v>
      </c>
      <c r="E7" s="25" t="s">
        <v>34</v>
      </c>
      <c r="F7" s="25" t="s">
        <v>25</v>
      </c>
      <c r="G7" s="26" t="s">
        <v>35</v>
      </c>
      <c r="H7" s="26" t="s">
        <v>36</v>
      </c>
      <c r="I7" s="27">
        <v>25000</v>
      </c>
      <c r="J7" s="25" t="s">
        <v>175</v>
      </c>
    </row>
    <row r="8" spans="1:10" x14ac:dyDescent="0.25">
      <c r="A8">
        <v>7</v>
      </c>
      <c r="B8">
        <f>VLOOKUP(D8,Sheet2!$A$2:$C$44,2, FALSE)</f>
        <v>34</v>
      </c>
      <c r="C8" s="25" t="s">
        <v>2</v>
      </c>
      <c r="D8" s="25">
        <v>4209</v>
      </c>
      <c r="E8" s="25" t="s">
        <v>43</v>
      </c>
      <c r="F8" s="25" t="s">
        <v>25</v>
      </c>
      <c r="G8" s="26" t="s">
        <v>44</v>
      </c>
      <c r="H8" s="26" t="s">
        <v>45</v>
      </c>
      <c r="I8" s="27">
        <v>18500</v>
      </c>
      <c r="J8" s="25" t="s">
        <v>175</v>
      </c>
    </row>
    <row r="9" spans="1:10" x14ac:dyDescent="0.25">
      <c r="A9">
        <v>8</v>
      </c>
      <c r="B9">
        <f>VLOOKUP(D9,Sheet2!$A$2:$C$44,2, FALSE)</f>
        <v>37</v>
      </c>
      <c r="C9" s="25" t="s">
        <v>0</v>
      </c>
      <c r="D9" s="25" t="s">
        <v>153</v>
      </c>
      <c r="E9" s="25" t="s">
        <v>28</v>
      </c>
      <c r="F9" s="25" t="s">
        <v>25</v>
      </c>
      <c r="G9" s="26" t="s">
        <v>29</v>
      </c>
      <c r="H9" s="26" t="s">
        <v>30</v>
      </c>
      <c r="I9" s="27">
        <v>22000</v>
      </c>
      <c r="J9" s="25" t="s">
        <v>175</v>
      </c>
    </row>
    <row r="10" spans="1:10" x14ac:dyDescent="0.25">
      <c r="A10">
        <v>9</v>
      </c>
      <c r="B10">
        <f>VLOOKUP(D10,Sheet2!$A$2:$C$44,2, FALSE)</f>
        <v>8</v>
      </c>
      <c r="C10" s="25" t="s">
        <v>182</v>
      </c>
      <c r="D10" s="25" t="s">
        <v>109</v>
      </c>
      <c r="E10" s="25" t="s">
        <v>183</v>
      </c>
      <c r="F10" s="25" t="s">
        <v>21</v>
      </c>
      <c r="G10" s="26">
        <v>45809</v>
      </c>
      <c r="H10" s="26">
        <v>46173</v>
      </c>
      <c r="I10" s="27">
        <v>3500</v>
      </c>
      <c r="J10" s="25" t="s">
        <v>175</v>
      </c>
    </row>
    <row r="11" spans="1:10" x14ac:dyDescent="0.25">
      <c r="A11">
        <v>10</v>
      </c>
      <c r="B11">
        <f>VLOOKUP(D11,Sheet2!$A$2:$C$44,2, FALSE)</f>
        <v>35</v>
      </c>
      <c r="C11" s="25" t="s">
        <v>0</v>
      </c>
      <c r="D11" s="25" t="s">
        <v>151</v>
      </c>
      <c r="E11" s="25" t="s">
        <v>20</v>
      </c>
      <c r="F11" s="25" t="s">
        <v>21</v>
      </c>
      <c r="G11" s="26" t="s">
        <v>22</v>
      </c>
      <c r="H11" s="26" t="s">
        <v>23</v>
      </c>
      <c r="I11" s="27">
        <v>22000</v>
      </c>
      <c r="J11" s="25" t="s">
        <v>175</v>
      </c>
    </row>
    <row r="12" spans="1:10" x14ac:dyDescent="0.25">
      <c r="A12">
        <v>11</v>
      </c>
      <c r="B12">
        <f>VLOOKUP(D12,Sheet2!$A$2:$C$44,2, FALSE)</f>
        <v>4</v>
      </c>
      <c r="C12" s="25" t="s">
        <v>104</v>
      </c>
      <c r="D12" s="25">
        <v>3012</v>
      </c>
      <c r="E12" s="25" t="s">
        <v>172</v>
      </c>
      <c r="F12" s="25" t="s">
        <v>21</v>
      </c>
      <c r="G12" s="26">
        <v>45839</v>
      </c>
      <c r="H12" s="26">
        <v>46203</v>
      </c>
      <c r="I12" s="27">
        <v>14000</v>
      </c>
      <c r="J12" s="25" t="s">
        <v>175</v>
      </c>
    </row>
    <row r="13" spans="1:10" x14ac:dyDescent="0.25">
      <c r="A13">
        <v>12</v>
      </c>
      <c r="B13">
        <f>VLOOKUP(D13,Sheet2!$A$2:$C$44,2, FALSE)</f>
        <v>21</v>
      </c>
      <c r="C13" s="25" t="s">
        <v>128</v>
      </c>
      <c r="D13" s="25">
        <v>113</v>
      </c>
      <c r="E13" s="25" t="s">
        <v>181</v>
      </c>
      <c r="F13" s="25" t="s">
        <v>21</v>
      </c>
      <c r="G13" s="26">
        <v>45839</v>
      </c>
      <c r="H13" s="26">
        <v>46203</v>
      </c>
      <c r="I13" s="27">
        <v>7000</v>
      </c>
      <c r="J13" s="25" t="s">
        <v>175</v>
      </c>
    </row>
    <row r="14" spans="1:10" x14ac:dyDescent="0.25">
      <c r="A14">
        <v>13</v>
      </c>
      <c r="B14">
        <f>VLOOKUP(D14,Sheet2!$A$2:$C$44,2, FALSE)</f>
        <v>42</v>
      </c>
      <c r="C14" s="25" t="s">
        <v>4</v>
      </c>
      <c r="D14" s="25">
        <v>2022</v>
      </c>
      <c r="E14" s="25" t="s">
        <v>49</v>
      </c>
      <c r="F14" s="25" t="s">
        <v>25</v>
      </c>
      <c r="G14" s="26" t="s">
        <v>50</v>
      </c>
      <c r="H14" s="26" t="s">
        <v>51</v>
      </c>
      <c r="I14" s="27">
        <v>16500</v>
      </c>
      <c r="J14" s="25" t="s">
        <v>175</v>
      </c>
    </row>
    <row r="15" spans="1:10" x14ac:dyDescent="0.25">
      <c r="A15">
        <v>14</v>
      </c>
      <c r="B15">
        <f>VLOOKUP(D15,Sheet2!$A$2:$C$44,2, FALSE)</f>
        <v>3</v>
      </c>
      <c r="C15" s="25" t="s">
        <v>104</v>
      </c>
      <c r="D15" s="25">
        <v>3006</v>
      </c>
      <c r="E15" s="25" t="s">
        <v>171</v>
      </c>
      <c r="F15" s="25" t="s">
        <v>21</v>
      </c>
      <c r="G15" s="26">
        <v>45878</v>
      </c>
      <c r="H15" s="26">
        <v>46242</v>
      </c>
      <c r="I15" s="27">
        <v>14000</v>
      </c>
      <c r="J15" s="25" t="s">
        <v>177</v>
      </c>
    </row>
    <row r="16" spans="1:10" ht="18" x14ac:dyDescent="0.35">
      <c r="A16">
        <v>15</v>
      </c>
      <c r="B16">
        <f>VLOOKUP(D16,Sheet2!$A$2:$C$44,2, FALSE)</f>
        <v>2</v>
      </c>
      <c r="C16" s="25" t="s">
        <v>166</v>
      </c>
      <c r="D16" s="4" t="s">
        <v>103</v>
      </c>
      <c r="E16" s="25" t="s">
        <v>168</v>
      </c>
      <c r="F16" s="25" t="s">
        <v>21</v>
      </c>
      <c r="G16" s="26">
        <v>45895</v>
      </c>
      <c r="H16" s="26">
        <v>46259</v>
      </c>
      <c r="I16" s="27">
        <v>6500</v>
      </c>
      <c r="J16" s="25" t="s">
        <v>175</v>
      </c>
    </row>
    <row r="17" spans="1:10" x14ac:dyDescent="0.25">
      <c r="A17">
        <v>16</v>
      </c>
      <c r="B17">
        <f>VLOOKUP(D17,Sheet2!$A$2:$C$44,2, FALSE)</f>
        <v>39</v>
      </c>
      <c r="C17" s="25" t="s">
        <v>1</v>
      </c>
      <c r="D17" s="25" t="s">
        <v>156</v>
      </c>
      <c r="E17" s="25" t="s">
        <v>37</v>
      </c>
      <c r="F17" s="25" t="s">
        <v>25</v>
      </c>
      <c r="G17" s="26" t="s">
        <v>38</v>
      </c>
      <c r="H17" s="26" t="s">
        <v>39</v>
      </c>
      <c r="I17" s="27">
        <v>25000</v>
      </c>
      <c r="J17" s="25" t="s">
        <v>175</v>
      </c>
    </row>
    <row r="18" spans="1:10" ht="18" x14ac:dyDescent="0.35">
      <c r="A18">
        <v>17</v>
      </c>
      <c r="B18">
        <f>VLOOKUP(D18,Sheet2!$A$2:$C$44,2, FALSE)</f>
        <v>1</v>
      </c>
      <c r="C18" s="25" t="s">
        <v>99</v>
      </c>
      <c r="D18" s="4" t="s">
        <v>100</v>
      </c>
      <c r="E18" s="25" t="s">
        <v>163</v>
      </c>
      <c r="F18" s="25" t="s">
        <v>25</v>
      </c>
      <c r="G18" s="26">
        <v>45931</v>
      </c>
      <c r="H18" s="26">
        <v>46112</v>
      </c>
      <c r="I18" s="27">
        <v>15000</v>
      </c>
      <c r="J18" s="25" t="s">
        <v>176</v>
      </c>
    </row>
    <row r="19" spans="1:10" ht="18" x14ac:dyDescent="0.35">
      <c r="A19">
        <v>18</v>
      </c>
      <c r="B19">
        <f>VLOOKUP(D19,Sheet2!$A$2:$C$44,2, FALSE)</f>
        <v>7</v>
      </c>
      <c r="C19" s="25" t="s">
        <v>170</v>
      </c>
      <c r="D19" s="4" t="s">
        <v>106</v>
      </c>
      <c r="E19" s="25" t="s">
        <v>169</v>
      </c>
      <c r="F19" s="25" t="s">
        <v>21</v>
      </c>
      <c r="G19" s="26">
        <v>45931</v>
      </c>
      <c r="H19" s="26">
        <v>46295</v>
      </c>
      <c r="I19" s="27">
        <v>8500</v>
      </c>
      <c r="J19" s="25" t="s">
        <v>175</v>
      </c>
    </row>
    <row r="20" spans="1:10" ht="18" x14ac:dyDescent="0.35">
      <c r="A20">
        <v>19</v>
      </c>
      <c r="B20">
        <f>VLOOKUP(D20,Sheet2!$A$2:$C$44,2, FALSE)</f>
        <v>31</v>
      </c>
      <c r="C20" s="25" t="s">
        <v>3</v>
      </c>
      <c r="D20" s="4" t="s">
        <v>143</v>
      </c>
      <c r="E20" s="25" t="s">
        <v>46</v>
      </c>
      <c r="F20" s="25" t="s">
        <v>25</v>
      </c>
      <c r="G20" s="26" t="s">
        <v>47</v>
      </c>
      <c r="H20" s="26" t="s">
        <v>48</v>
      </c>
      <c r="I20" s="27">
        <v>50000</v>
      </c>
      <c r="J20" s="25" t="s">
        <v>175</v>
      </c>
    </row>
    <row r="21" spans="1:10" x14ac:dyDescent="0.25">
      <c r="A21">
        <v>20</v>
      </c>
      <c r="B21">
        <f>VLOOKUP(D21,Sheet2!$A$2:$C$44,2, FALSE)</f>
        <v>5</v>
      </c>
      <c r="C21" s="25" t="s">
        <v>104</v>
      </c>
      <c r="D21" s="25">
        <v>3109</v>
      </c>
      <c r="E21" s="25" t="s">
        <v>173</v>
      </c>
      <c r="F21" s="25" t="s">
        <v>21</v>
      </c>
      <c r="G21" s="26">
        <v>45962</v>
      </c>
      <c r="H21" s="26">
        <v>46326</v>
      </c>
      <c r="I21" s="27">
        <v>12000</v>
      </c>
      <c r="J21" s="25" t="s">
        <v>175</v>
      </c>
    </row>
    <row r="22" spans="1:10" x14ac:dyDescent="0.25">
      <c r="A22">
        <v>21</v>
      </c>
      <c r="B22">
        <f>VLOOKUP(D22,Sheet2!$A$2:$C$44,2, FALSE)</f>
        <v>20</v>
      </c>
      <c r="C22" s="25" t="s">
        <v>128</v>
      </c>
      <c r="D22" s="25">
        <v>112</v>
      </c>
      <c r="E22" s="25" t="s">
        <v>179</v>
      </c>
      <c r="F22" s="25" t="s">
        <v>21</v>
      </c>
      <c r="G22" s="26">
        <v>46033</v>
      </c>
      <c r="H22" s="26">
        <v>46086</v>
      </c>
      <c r="I22" s="27">
        <v>14000</v>
      </c>
      <c r="J22" s="25" t="s">
        <v>175</v>
      </c>
    </row>
    <row r="23" spans="1:10" x14ac:dyDescent="0.25">
      <c r="A23">
        <v>22</v>
      </c>
      <c r="B23">
        <f>VLOOKUP(D23,Sheet2!$A$2:$C$44,2, FALSE)</f>
        <v>36</v>
      </c>
      <c r="C23" s="25" t="s">
        <v>0</v>
      </c>
      <c r="D23" s="25" t="s">
        <v>152</v>
      </c>
      <c r="E23" s="25" t="s">
        <v>24</v>
      </c>
      <c r="F23" s="25" t="s">
        <v>25</v>
      </c>
      <c r="G23" s="26">
        <v>46078</v>
      </c>
      <c r="H23" s="26">
        <v>46443</v>
      </c>
      <c r="I23" s="27">
        <v>22000</v>
      </c>
      <c r="J23" s="25" t="s">
        <v>175</v>
      </c>
    </row>
    <row r="24" spans="1:10" ht="18" x14ac:dyDescent="0.35">
      <c r="A24">
        <v>23</v>
      </c>
      <c r="B24">
        <f>VLOOKUP(D24,Sheet2!$A$2:$C$44,2, FALSE)</f>
        <v>1</v>
      </c>
      <c r="C24" s="25" t="s">
        <v>99</v>
      </c>
      <c r="D24" s="4" t="s">
        <v>100</v>
      </c>
      <c r="E24" s="25" t="s">
        <v>163</v>
      </c>
      <c r="F24" s="25" t="s">
        <v>25</v>
      </c>
      <c r="G24" s="26">
        <v>46113</v>
      </c>
      <c r="H24" s="26">
        <v>46173</v>
      </c>
      <c r="I24" s="27">
        <v>15000</v>
      </c>
      <c r="J24" s="25" t="s">
        <v>175</v>
      </c>
    </row>
  </sheetData>
  <autoFilter ref="A1:J24" xr:uid="{00000000-0001-0000-0200-000000000000}"/>
  <sortState xmlns:xlrd2="http://schemas.microsoft.com/office/spreadsheetml/2017/richdata2" ref="C2:J24">
    <sortCondition ref="G2:G24"/>
  </sortState>
  <pageMargins left="0.7" right="0.7" top="0.75" bottom="0.75" header="0.3" footer="0.3"/>
  <ignoredErrors>
    <ignoredError sqref="C1:E1 G1:H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8"/>
  <sheetViews>
    <sheetView topLeftCell="A86" workbookViewId="0">
      <selection activeCell="D105" sqref="D105"/>
    </sheetView>
  </sheetViews>
  <sheetFormatPr defaultRowHeight="15" x14ac:dyDescent="0.25"/>
  <cols>
    <col min="3" max="3" width="16.6328125" customWidth="1"/>
    <col min="7" max="7" width="10.08984375" style="23" bestFit="1" customWidth="1"/>
  </cols>
  <sheetData>
    <row r="1" spans="1:8" x14ac:dyDescent="0.25">
      <c r="A1" s="25" t="s">
        <v>5</v>
      </c>
      <c r="B1" s="25" t="s">
        <v>6</v>
      </c>
      <c r="C1" s="25" t="s">
        <v>17</v>
      </c>
      <c r="D1" s="25" t="s">
        <v>52</v>
      </c>
      <c r="E1" s="25" t="s">
        <v>53</v>
      </c>
      <c r="F1" s="25" t="s">
        <v>54</v>
      </c>
      <c r="G1" s="26" t="s">
        <v>55</v>
      </c>
      <c r="H1" s="25" t="s">
        <v>56</v>
      </c>
    </row>
    <row r="2" spans="1:8" x14ac:dyDescent="0.25">
      <c r="A2" s="25" t="s">
        <v>1</v>
      </c>
      <c r="B2" s="25" t="s">
        <v>12</v>
      </c>
      <c r="C2" s="25" t="s">
        <v>37</v>
      </c>
      <c r="D2" s="25" t="s">
        <v>79</v>
      </c>
      <c r="E2" s="25">
        <v>25000</v>
      </c>
      <c r="F2" s="25">
        <v>25000</v>
      </c>
      <c r="G2" s="26" t="s">
        <v>84</v>
      </c>
      <c r="H2" s="25" t="s">
        <v>64</v>
      </c>
    </row>
    <row r="3" spans="1:8" x14ac:dyDescent="0.25">
      <c r="A3" s="25" t="s">
        <v>1</v>
      </c>
      <c r="B3" s="25" t="s">
        <v>13</v>
      </c>
      <c r="C3" s="25" t="s">
        <v>40</v>
      </c>
      <c r="D3" s="25" t="s">
        <v>79</v>
      </c>
      <c r="E3" s="25">
        <v>27000</v>
      </c>
      <c r="F3" s="25">
        <v>0</v>
      </c>
      <c r="G3" s="26" t="s">
        <v>58</v>
      </c>
      <c r="H3" s="25" t="s">
        <v>59</v>
      </c>
    </row>
    <row r="4" spans="1:8" x14ac:dyDescent="0.25">
      <c r="A4" s="25" t="s">
        <v>1</v>
      </c>
      <c r="B4" s="25" t="s">
        <v>11</v>
      </c>
      <c r="C4" s="25" t="s">
        <v>34</v>
      </c>
      <c r="D4" s="25" t="s">
        <v>79</v>
      </c>
      <c r="E4" s="25">
        <v>25000</v>
      </c>
      <c r="F4" s="25">
        <v>25000</v>
      </c>
      <c r="G4" s="26" t="s">
        <v>83</v>
      </c>
      <c r="H4" s="25" t="s">
        <v>64</v>
      </c>
    </row>
    <row r="5" spans="1:8" x14ac:dyDescent="0.25">
      <c r="A5" s="25" t="s">
        <v>0</v>
      </c>
      <c r="B5" s="25" t="s">
        <v>7</v>
      </c>
      <c r="C5" s="25" t="s">
        <v>20</v>
      </c>
      <c r="D5" s="25" t="s">
        <v>79</v>
      </c>
      <c r="E5" s="25">
        <v>22000</v>
      </c>
      <c r="F5" s="25">
        <v>0</v>
      </c>
      <c r="G5" s="26" t="s">
        <v>58</v>
      </c>
      <c r="H5" s="25" t="s">
        <v>59</v>
      </c>
    </row>
    <row r="6" spans="1:8" x14ac:dyDescent="0.25">
      <c r="A6" s="25" t="s">
        <v>0</v>
      </c>
      <c r="B6" s="25" t="s">
        <v>8</v>
      </c>
      <c r="C6" s="25" t="s">
        <v>24</v>
      </c>
      <c r="D6" s="25" t="s">
        <v>79</v>
      </c>
      <c r="E6" s="25">
        <v>22000</v>
      </c>
      <c r="F6" s="25">
        <v>22000</v>
      </c>
      <c r="G6" s="26" t="s">
        <v>80</v>
      </c>
      <c r="H6" s="25" t="s">
        <v>64</v>
      </c>
    </row>
    <row r="7" spans="1:8" x14ac:dyDescent="0.25">
      <c r="A7" s="25" t="s">
        <v>0</v>
      </c>
      <c r="B7" s="25" t="s">
        <v>9</v>
      </c>
      <c r="C7" s="25" t="s">
        <v>28</v>
      </c>
      <c r="D7" s="25" t="s">
        <v>79</v>
      </c>
      <c r="E7" s="25">
        <v>22000</v>
      </c>
      <c r="F7" s="25">
        <v>22000</v>
      </c>
      <c r="G7" s="26" t="s">
        <v>81</v>
      </c>
      <c r="H7" s="25" t="s">
        <v>64</v>
      </c>
    </row>
    <row r="8" spans="1:8" x14ac:dyDescent="0.25">
      <c r="A8" s="25" t="s">
        <v>0</v>
      </c>
      <c r="B8" s="25" t="s">
        <v>10</v>
      </c>
      <c r="C8" s="25" t="s">
        <v>31</v>
      </c>
      <c r="D8" s="25" t="s">
        <v>79</v>
      </c>
      <c r="E8" s="25">
        <v>23000</v>
      </c>
      <c r="F8" s="25">
        <v>23000</v>
      </c>
      <c r="G8" s="26" t="s">
        <v>82</v>
      </c>
      <c r="H8" s="25" t="s">
        <v>64</v>
      </c>
    </row>
    <row r="9" spans="1:8" x14ac:dyDescent="0.25">
      <c r="A9" s="25" t="s">
        <v>4</v>
      </c>
      <c r="B9" s="25" t="s">
        <v>16</v>
      </c>
      <c r="C9" s="25" t="s">
        <v>49</v>
      </c>
      <c r="D9" s="25" t="s">
        <v>79</v>
      </c>
      <c r="E9" s="25">
        <v>16500</v>
      </c>
      <c r="F9" s="25">
        <v>16500</v>
      </c>
      <c r="G9" s="26" t="s">
        <v>87</v>
      </c>
      <c r="H9" s="25" t="s">
        <v>64</v>
      </c>
    </row>
    <row r="10" spans="1:8" x14ac:dyDescent="0.25">
      <c r="A10" s="25" t="s">
        <v>2</v>
      </c>
      <c r="B10" s="25" t="s">
        <v>14</v>
      </c>
      <c r="C10" s="25" t="s">
        <v>43</v>
      </c>
      <c r="D10" s="25" t="s">
        <v>79</v>
      </c>
      <c r="E10" s="25">
        <v>18500</v>
      </c>
      <c r="F10" s="25">
        <v>18500</v>
      </c>
      <c r="G10" s="26" t="s">
        <v>85</v>
      </c>
      <c r="H10" s="25" t="s">
        <v>64</v>
      </c>
    </row>
    <row r="11" spans="1:8" x14ac:dyDescent="0.25">
      <c r="A11" s="25" t="s">
        <v>3</v>
      </c>
      <c r="B11" s="25" t="s">
        <v>15</v>
      </c>
      <c r="C11" s="25" t="s">
        <v>46</v>
      </c>
      <c r="D11" s="25" t="s">
        <v>79</v>
      </c>
      <c r="E11" s="25">
        <v>50000</v>
      </c>
      <c r="F11" s="25">
        <v>50000</v>
      </c>
      <c r="G11" s="26" t="s">
        <v>86</v>
      </c>
      <c r="H11" s="25" t="s">
        <v>64</v>
      </c>
    </row>
    <row r="12" spans="1:8" x14ac:dyDescent="0.25">
      <c r="A12" s="25" t="s">
        <v>1</v>
      </c>
      <c r="B12" s="25" t="s">
        <v>12</v>
      </c>
      <c r="C12" s="25" t="s">
        <v>37</v>
      </c>
      <c r="D12" s="25" t="s">
        <v>71</v>
      </c>
      <c r="E12" s="25">
        <v>25000</v>
      </c>
      <c r="F12" s="25">
        <v>25000</v>
      </c>
      <c r="G12" s="26" t="s">
        <v>75</v>
      </c>
      <c r="H12" s="25" t="s">
        <v>64</v>
      </c>
    </row>
    <row r="13" spans="1:8" x14ac:dyDescent="0.25">
      <c r="A13" s="25" t="s">
        <v>1</v>
      </c>
      <c r="B13" s="25" t="s">
        <v>13</v>
      </c>
      <c r="C13" s="25" t="s">
        <v>40</v>
      </c>
      <c r="D13" s="25" t="s">
        <v>71</v>
      </c>
      <c r="E13" s="25">
        <v>27000</v>
      </c>
      <c r="F13" s="25">
        <v>0</v>
      </c>
      <c r="G13" s="26" t="s">
        <v>58</v>
      </c>
      <c r="H13" s="25" t="s">
        <v>59</v>
      </c>
    </row>
    <row r="14" spans="1:8" x14ac:dyDescent="0.25">
      <c r="A14" s="25" t="s">
        <v>1</v>
      </c>
      <c r="B14" s="25" t="s">
        <v>11</v>
      </c>
      <c r="C14" s="25" t="s">
        <v>34</v>
      </c>
      <c r="D14" s="25" t="s">
        <v>71</v>
      </c>
      <c r="E14" s="25">
        <v>25000</v>
      </c>
      <c r="F14" s="25">
        <v>25000</v>
      </c>
      <c r="G14" s="26" t="s">
        <v>74</v>
      </c>
      <c r="H14" s="25" t="s">
        <v>64</v>
      </c>
    </row>
    <row r="15" spans="1:8" x14ac:dyDescent="0.25">
      <c r="A15" s="25" t="s">
        <v>0</v>
      </c>
      <c r="B15" s="25" t="s">
        <v>7</v>
      </c>
      <c r="C15" s="25" t="s">
        <v>20</v>
      </c>
      <c r="D15" s="25" t="s">
        <v>71</v>
      </c>
      <c r="E15" s="25">
        <v>22000</v>
      </c>
      <c r="F15" s="25">
        <v>0</v>
      </c>
      <c r="G15" s="26" t="s">
        <v>58</v>
      </c>
      <c r="H15" s="25" t="s">
        <v>59</v>
      </c>
    </row>
    <row r="16" spans="1:8" x14ac:dyDescent="0.25">
      <c r="A16" s="25" t="s">
        <v>0</v>
      </c>
      <c r="B16" s="25" t="s">
        <v>8</v>
      </c>
      <c r="C16" s="25" t="s">
        <v>24</v>
      </c>
      <c r="D16" s="25" t="s">
        <v>71</v>
      </c>
      <c r="E16" s="25">
        <v>22000</v>
      </c>
      <c r="F16" s="25">
        <v>22000</v>
      </c>
      <c r="G16" s="26" t="s">
        <v>63</v>
      </c>
      <c r="H16" s="25" t="s">
        <v>64</v>
      </c>
    </row>
    <row r="17" spans="1:8" x14ac:dyDescent="0.25">
      <c r="A17" s="25" t="s">
        <v>0</v>
      </c>
      <c r="B17" s="25" t="s">
        <v>9</v>
      </c>
      <c r="C17" s="25" t="s">
        <v>28</v>
      </c>
      <c r="D17" s="25" t="s">
        <v>71</v>
      </c>
      <c r="E17" s="25">
        <v>22000</v>
      </c>
      <c r="F17" s="25">
        <v>22000</v>
      </c>
      <c r="G17" s="26" t="s">
        <v>72</v>
      </c>
      <c r="H17" s="25" t="s">
        <v>64</v>
      </c>
    </row>
    <row r="18" spans="1:8" x14ac:dyDescent="0.25">
      <c r="A18" s="25" t="s">
        <v>0</v>
      </c>
      <c r="B18" s="25" t="s">
        <v>10</v>
      </c>
      <c r="C18" s="25" t="s">
        <v>31</v>
      </c>
      <c r="D18" s="25" t="s">
        <v>71</v>
      </c>
      <c r="E18" s="25">
        <v>23000</v>
      </c>
      <c r="F18" s="25">
        <v>23000</v>
      </c>
      <c r="G18" s="26" t="s">
        <v>73</v>
      </c>
      <c r="H18" s="25" t="s">
        <v>64</v>
      </c>
    </row>
    <row r="19" spans="1:8" x14ac:dyDescent="0.25">
      <c r="A19" s="25" t="s">
        <v>4</v>
      </c>
      <c r="B19" s="25" t="s">
        <v>16</v>
      </c>
      <c r="C19" s="25" t="s">
        <v>49</v>
      </c>
      <c r="D19" s="25" t="s">
        <v>71</v>
      </c>
      <c r="E19" s="25">
        <v>16500</v>
      </c>
      <c r="F19" s="25">
        <v>16500</v>
      </c>
      <c r="G19" s="26" t="s">
        <v>78</v>
      </c>
      <c r="H19" s="25" t="s">
        <v>64</v>
      </c>
    </row>
    <row r="20" spans="1:8" x14ac:dyDescent="0.25">
      <c r="A20" s="25" t="s">
        <v>2</v>
      </c>
      <c r="B20" s="25" t="s">
        <v>14</v>
      </c>
      <c r="C20" s="25" t="s">
        <v>43</v>
      </c>
      <c r="D20" s="25" t="s">
        <v>71</v>
      </c>
      <c r="E20" s="25">
        <v>18500</v>
      </c>
      <c r="F20" s="25">
        <v>18500</v>
      </c>
      <c r="G20" s="26" t="s">
        <v>76</v>
      </c>
      <c r="H20" s="25" t="s">
        <v>64</v>
      </c>
    </row>
    <row r="21" spans="1:8" x14ac:dyDescent="0.25">
      <c r="A21" s="25" t="s">
        <v>3</v>
      </c>
      <c r="B21" s="25" t="s">
        <v>15</v>
      </c>
      <c r="C21" s="25" t="s">
        <v>46</v>
      </c>
      <c r="D21" s="25" t="s">
        <v>71</v>
      </c>
      <c r="E21" s="25">
        <v>50000</v>
      </c>
      <c r="F21" s="25">
        <v>50000</v>
      </c>
      <c r="G21" s="26" t="s">
        <v>77</v>
      </c>
      <c r="H21" s="25" t="s">
        <v>64</v>
      </c>
    </row>
    <row r="22" spans="1:8" x14ac:dyDescent="0.25">
      <c r="A22" s="25" t="s">
        <v>1</v>
      </c>
      <c r="B22" s="25" t="s">
        <v>12</v>
      </c>
      <c r="C22" s="25" t="s">
        <v>37</v>
      </c>
      <c r="D22" s="25" t="s">
        <v>62</v>
      </c>
      <c r="E22" s="25">
        <v>25000</v>
      </c>
      <c r="F22" s="25">
        <v>25000</v>
      </c>
      <c r="G22" s="26" t="s">
        <v>68</v>
      </c>
      <c r="H22" s="25" t="s">
        <v>64</v>
      </c>
    </row>
    <row r="23" spans="1:8" x14ac:dyDescent="0.25">
      <c r="A23" s="25" t="s">
        <v>1</v>
      </c>
      <c r="B23" s="25" t="s">
        <v>13</v>
      </c>
      <c r="C23" s="25" t="s">
        <v>40</v>
      </c>
      <c r="D23" s="25" t="s">
        <v>62</v>
      </c>
      <c r="E23" s="25">
        <v>27000</v>
      </c>
      <c r="F23" s="25">
        <v>27000</v>
      </c>
      <c r="G23" s="26">
        <v>46023</v>
      </c>
      <c r="H23" s="25" t="s">
        <v>187</v>
      </c>
    </row>
    <row r="24" spans="1:8" x14ac:dyDescent="0.25">
      <c r="A24" s="25" t="s">
        <v>1</v>
      </c>
      <c r="B24" s="25" t="s">
        <v>11</v>
      </c>
      <c r="C24" s="25" t="s">
        <v>34</v>
      </c>
      <c r="D24" s="25" t="s">
        <v>62</v>
      </c>
      <c r="E24" s="25">
        <v>25000</v>
      </c>
      <c r="F24" s="25">
        <v>25000</v>
      </c>
      <c r="G24" s="26" t="s">
        <v>67</v>
      </c>
      <c r="H24" s="25" t="s">
        <v>64</v>
      </c>
    </row>
    <row r="25" spans="1:8" x14ac:dyDescent="0.25">
      <c r="A25" s="25" t="s">
        <v>0</v>
      </c>
      <c r="B25" s="25" t="s">
        <v>7</v>
      </c>
      <c r="C25" s="25" t="s">
        <v>20</v>
      </c>
      <c r="D25" s="25" t="s">
        <v>62</v>
      </c>
      <c r="E25" s="25">
        <v>22000</v>
      </c>
      <c r="F25" s="25">
        <v>22000</v>
      </c>
      <c r="G25" s="26">
        <v>46026</v>
      </c>
      <c r="H25" s="25" t="s">
        <v>187</v>
      </c>
    </row>
    <row r="26" spans="1:8" x14ac:dyDescent="0.25">
      <c r="A26" s="25" t="s">
        <v>0</v>
      </c>
      <c r="B26" s="25" t="s">
        <v>8</v>
      </c>
      <c r="C26" s="25" t="s">
        <v>24</v>
      </c>
      <c r="D26" s="25" t="s">
        <v>62</v>
      </c>
      <c r="E26" s="25">
        <v>22000</v>
      </c>
      <c r="F26" s="25">
        <v>22000</v>
      </c>
      <c r="G26" s="26" t="s">
        <v>63</v>
      </c>
      <c r="H26" s="25" t="s">
        <v>64</v>
      </c>
    </row>
    <row r="27" spans="1:8" x14ac:dyDescent="0.25">
      <c r="A27" s="25" t="s">
        <v>0</v>
      </c>
      <c r="B27" s="25" t="s">
        <v>9</v>
      </c>
      <c r="C27" s="25" t="s">
        <v>28</v>
      </c>
      <c r="D27" s="25" t="s">
        <v>62</v>
      </c>
      <c r="E27" s="25">
        <v>22000</v>
      </c>
      <c r="F27" s="25">
        <v>22000</v>
      </c>
      <c r="G27" s="26" t="s">
        <v>65</v>
      </c>
      <c r="H27" s="25" t="s">
        <v>64</v>
      </c>
    </row>
    <row r="28" spans="1:8" x14ac:dyDescent="0.25">
      <c r="A28" s="25" t="s">
        <v>0</v>
      </c>
      <c r="B28" s="25" t="s">
        <v>10</v>
      </c>
      <c r="C28" s="25" t="s">
        <v>31</v>
      </c>
      <c r="D28" s="25" t="s">
        <v>62</v>
      </c>
      <c r="E28" s="25">
        <v>23000</v>
      </c>
      <c r="F28" s="25">
        <v>23000</v>
      </c>
      <c r="G28" s="26" t="s">
        <v>66</v>
      </c>
      <c r="H28" s="25" t="s">
        <v>64</v>
      </c>
    </row>
    <row r="29" spans="1:8" x14ac:dyDescent="0.25">
      <c r="A29" s="25" t="s">
        <v>4</v>
      </c>
      <c r="B29" s="25" t="s">
        <v>16</v>
      </c>
      <c r="C29" s="25" t="s">
        <v>49</v>
      </c>
      <c r="D29" s="25" t="s">
        <v>62</v>
      </c>
      <c r="E29" s="25">
        <v>16500</v>
      </c>
      <c r="F29" s="25">
        <v>16500</v>
      </c>
      <c r="G29" s="26" t="s">
        <v>70</v>
      </c>
      <c r="H29" s="25" t="s">
        <v>64</v>
      </c>
    </row>
    <row r="30" spans="1:8" x14ac:dyDescent="0.25">
      <c r="A30" s="25" t="s">
        <v>2</v>
      </c>
      <c r="B30" s="25" t="s">
        <v>14</v>
      </c>
      <c r="C30" s="25" t="s">
        <v>43</v>
      </c>
      <c r="D30" s="25" t="s">
        <v>62</v>
      </c>
      <c r="E30" s="25">
        <v>18500</v>
      </c>
      <c r="F30" s="25">
        <v>18500</v>
      </c>
      <c r="G30" s="26" t="s">
        <v>69</v>
      </c>
      <c r="H30" s="25" t="s">
        <v>64</v>
      </c>
    </row>
    <row r="31" spans="1:8" x14ac:dyDescent="0.25">
      <c r="A31" s="25" t="s">
        <v>3</v>
      </c>
      <c r="B31" s="25" t="s">
        <v>15</v>
      </c>
      <c r="C31" s="25" t="s">
        <v>46</v>
      </c>
      <c r="D31" s="25" t="s">
        <v>62</v>
      </c>
      <c r="E31" s="25">
        <v>50000</v>
      </c>
      <c r="F31" s="25">
        <v>49000</v>
      </c>
      <c r="G31" s="26" t="s">
        <v>70</v>
      </c>
      <c r="H31" s="25" t="s">
        <v>187</v>
      </c>
    </row>
    <row r="32" spans="1:8" ht="18" x14ac:dyDescent="0.35">
      <c r="A32" s="25" t="s">
        <v>186</v>
      </c>
      <c r="B32" s="4" t="s">
        <v>103</v>
      </c>
      <c r="C32" s="25" t="str">
        <f>Tenants!E16</f>
        <v>Somebody</v>
      </c>
      <c r="D32" s="25" t="s">
        <v>62</v>
      </c>
      <c r="E32" s="25">
        <v>6500</v>
      </c>
      <c r="F32" s="25">
        <v>6500</v>
      </c>
      <c r="G32" s="26">
        <v>46016</v>
      </c>
      <c r="H32" s="25" t="s">
        <v>187</v>
      </c>
    </row>
    <row r="33" spans="1:8" ht="18" x14ac:dyDescent="0.35">
      <c r="A33" s="25" t="s">
        <v>188</v>
      </c>
      <c r="B33" s="4" t="s">
        <v>106</v>
      </c>
      <c r="C33" s="25" t="s">
        <v>189</v>
      </c>
      <c r="D33" s="25" t="s">
        <v>62</v>
      </c>
      <c r="E33" s="25">
        <v>8500</v>
      </c>
      <c r="F33" s="25">
        <v>8500</v>
      </c>
      <c r="G33" s="26">
        <v>46025</v>
      </c>
      <c r="H33" s="25" t="s">
        <v>187</v>
      </c>
    </row>
    <row r="34" spans="1:8" x14ac:dyDescent="0.25">
      <c r="A34" s="25" t="s">
        <v>104</v>
      </c>
      <c r="B34" s="25">
        <v>3006</v>
      </c>
      <c r="C34" s="25" t="s">
        <v>192</v>
      </c>
      <c r="D34" s="25" t="s">
        <v>62</v>
      </c>
      <c r="E34" s="25">
        <v>14000</v>
      </c>
      <c r="F34" s="25">
        <v>14000</v>
      </c>
      <c r="G34" s="26">
        <v>46028</v>
      </c>
      <c r="H34" s="25" t="s">
        <v>187</v>
      </c>
    </row>
    <row r="35" spans="1:8" x14ac:dyDescent="0.25">
      <c r="A35" s="25" t="s">
        <v>104</v>
      </c>
      <c r="B35" s="25">
        <v>3012</v>
      </c>
      <c r="C35" s="25" t="s">
        <v>190</v>
      </c>
      <c r="D35" s="25" t="s">
        <v>62</v>
      </c>
      <c r="E35" s="25">
        <v>13000</v>
      </c>
      <c r="F35" s="25">
        <v>13000</v>
      </c>
      <c r="G35" s="26">
        <v>46031</v>
      </c>
      <c r="H35" s="25" t="s">
        <v>187</v>
      </c>
    </row>
    <row r="36" spans="1:8" x14ac:dyDescent="0.25">
      <c r="A36" s="25" t="s">
        <v>104</v>
      </c>
      <c r="B36" s="25">
        <v>3109</v>
      </c>
      <c r="C36" s="25" t="s">
        <v>191</v>
      </c>
      <c r="D36" s="25" t="s">
        <v>62</v>
      </c>
      <c r="E36" s="25">
        <v>12000</v>
      </c>
      <c r="F36" s="25">
        <v>12000</v>
      </c>
      <c r="G36" s="26">
        <v>46027</v>
      </c>
      <c r="H36" s="25" t="s">
        <v>187</v>
      </c>
    </row>
    <row r="37" spans="1:8" x14ac:dyDescent="0.25">
      <c r="A37" s="25" t="s">
        <v>104</v>
      </c>
      <c r="B37" s="25">
        <v>3111</v>
      </c>
      <c r="C37" s="25" t="s">
        <v>194</v>
      </c>
      <c r="D37" s="25" t="s">
        <v>62</v>
      </c>
      <c r="E37" s="25">
        <v>13000</v>
      </c>
      <c r="F37" s="25">
        <v>13000</v>
      </c>
      <c r="G37" s="26">
        <v>46025</v>
      </c>
      <c r="H37" s="25" t="s">
        <v>187</v>
      </c>
    </row>
    <row r="38" spans="1:8" x14ac:dyDescent="0.25">
      <c r="A38" s="25" t="s">
        <v>128</v>
      </c>
      <c r="B38" s="25">
        <v>98</v>
      </c>
      <c r="C38" s="25" t="s">
        <v>195</v>
      </c>
      <c r="D38" s="25" t="s">
        <v>62</v>
      </c>
      <c r="E38" s="25">
        <v>7000</v>
      </c>
      <c r="F38" s="25">
        <v>7000</v>
      </c>
      <c r="G38" s="26">
        <v>46025</v>
      </c>
      <c r="H38" s="25" t="s">
        <v>187</v>
      </c>
    </row>
    <row r="39" spans="1:8" x14ac:dyDescent="0.25">
      <c r="A39" s="25" t="s">
        <v>128</v>
      </c>
      <c r="B39" s="25">
        <v>112</v>
      </c>
      <c r="C39" s="25" t="s">
        <v>196</v>
      </c>
      <c r="D39" s="25" t="s">
        <v>62</v>
      </c>
      <c r="E39" s="25">
        <v>42000</v>
      </c>
      <c r="F39" s="25">
        <v>42000</v>
      </c>
      <c r="G39" s="26">
        <v>46035</v>
      </c>
      <c r="H39" s="25" t="s">
        <v>187</v>
      </c>
    </row>
    <row r="40" spans="1:8" x14ac:dyDescent="0.25">
      <c r="A40" s="25" t="s">
        <v>128</v>
      </c>
      <c r="B40" s="25">
        <v>113</v>
      </c>
      <c r="C40" s="25" t="s">
        <v>180</v>
      </c>
      <c r="D40" s="25" t="s">
        <v>62</v>
      </c>
      <c r="E40" s="25">
        <v>7000</v>
      </c>
      <c r="F40" s="25">
        <v>7000</v>
      </c>
      <c r="G40" s="26">
        <v>46023</v>
      </c>
      <c r="H40" s="25" t="s">
        <v>187</v>
      </c>
    </row>
    <row r="41" spans="1:8" x14ac:dyDescent="0.25">
      <c r="A41" s="25" t="s">
        <v>197</v>
      </c>
      <c r="B41" s="25">
        <v>40</v>
      </c>
      <c r="C41" s="25" t="s">
        <v>198</v>
      </c>
      <c r="D41" s="25" t="s">
        <v>62</v>
      </c>
      <c r="E41" s="25">
        <v>3500</v>
      </c>
      <c r="F41" s="25">
        <v>3500</v>
      </c>
      <c r="G41" s="26">
        <v>46020</v>
      </c>
      <c r="H41" s="25" t="s">
        <v>187</v>
      </c>
    </row>
    <row r="42" spans="1:8" x14ac:dyDescent="0.25">
      <c r="A42" s="25" t="s">
        <v>1</v>
      </c>
      <c r="B42" s="25" t="s">
        <v>12</v>
      </c>
      <c r="C42" s="25" t="s">
        <v>37</v>
      </c>
      <c r="D42" s="25" t="s">
        <v>61</v>
      </c>
      <c r="E42" s="25">
        <v>25000</v>
      </c>
      <c r="F42" s="25">
        <v>25000</v>
      </c>
      <c r="G42" s="26">
        <v>46068</v>
      </c>
      <c r="H42" s="25" t="s">
        <v>187</v>
      </c>
    </row>
    <row r="43" spans="1:8" x14ac:dyDescent="0.25">
      <c r="A43" s="25" t="s">
        <v>1</v>
      </c>
      <c r="B43" s="25" t="s">
        <v>13</v>
      </c>
      <c r="C43" s="25" t="s">
        <v>40</v>
      </c>
      <c r="D43" s="25" t="s">
        <v>61</v>
      </c>
      <c r="E43" s="25">
        <v>27000</v>
      </c>
      <c r="F43" s="25">
        <v>27000</v>
      </c>
      <c r="G43" s="26">
        <v>46054</v>
      </c>
      <c r="H43" s="25" t="s">
        <v>187</v>
      </c>
    </row>
    <row r="44" spans="1:8" x14ac:dyDescent="0.25">
      <c r="A44" s="25" t="s">
        <v>1</v>
      </c>
      <c r="B44" s="25" t="s">
        <v>11</v>
      </c>
      <c r="C44" s="25" t="s">
        <v>34</v>
      </c>
      <c r="D44" s="25" t="s">
        <v>61</v>
      </c>
      <c r="E44" s="25">
        <v>25000</v>
      </c>
      <c r="F44" s="25">
        <v>25000</v>
      </c>
      <c r="G44" s="26">
        <v>46059</v>
      </c>
      <c r="H44" s="25" t="s">
        <v>187</v>
      </c>
    </row>
    <row r="45" spans="1:8" x14ac:dyDescent="0.25">
      <c r="A45" s="25" t="s">
        <v>0</v>
      </c>
      <c r="B45" s="25" t="s">
        <v>7</v>
      </c>
      <c r="C45" s="25" t="s">
        <v>20</v>
      </c>
      <c r="D45" s="25" t="s">
        <v>61</v>
      </c>
      <c r="E45" s="25">
        <v>22000</v>
      </c>
      <c r="F45" s="25">
        <v>22000</v>
      </c>
      <c r="G45" s="26">
        <v>46057</v>
      </c>
      <c r="H45" s="25" t="s">
        <v>187</v>
      </c>
    </row>
    <row r="46" spans="1:8" x14ac:dyDescent="0.25">
      <c r="A46" s="25" t="s">
        <v>0</v>
      </c>
      <c r="B46" s="25" t="s">
        <v>8</v>
      </c>
      <c r="C46" s="25" t="s">
        <v>24</v>
      </c>
      <c r="D46" s="25" t="s">
        <v>61</v>
      </c>
      <c r="E46" s="25">
        <v>22000</v>
      </c>
      <c r="F46" s="25">
        <v>22000</v>
      </c>
      <c r="G46" s="26">
        <v>46073</v>
      </c>
      <c r="H46" s="25" t="s">
        <v>187</v>
      </c>
    </row>
    <row r="47" spans="1:8" x14ac:dyDescent="0.25">
      <c r="A47" s="25" t="s">
        <v>0</v>
      </c>
      <c r="B47" s="25" t="s">
        <v>9</v>
      </c>
      <c r="C47" s="25" t="s">
        <v>28</v>
      </c>
      <c r="D47" s="25" t="s">
        <v>61</v>
      </c>
      <c r="E47" s="25">
        <v>22000</v>
      </c>
      <c r="F47" s="25">
        <v>22000</v>
      </c>
      <c r="G47" s="26">
        <v>46057</v>
      </c>
      <c r="H47" s="25" t="s">
        <v>187</v>
      </c>
    </row>
    <row r="48" spans="1:8" x14ac:dyDescent="0.25">
      <c r="A48" s="25" t="s">
        <v>0</v>
      </c>
      <c r="B48" s="25" t="s">
        <v>10</v>
      </c>
      <c r="C48" s="25" t="s">
        <v>31</v>
      </c>
      <c r="D48" s="25" t="s">
        <v>61</v>
      </c>
      <c r="E48" s="25">
        <v>23000</v>
      </c>
      <c r="F48" s="25">
        <v>23000</v>
      </c>
      <c r="G48" s="26">
        <v>46074</v>
      </c>
      <c r="H48" s="25" t="s">
        <v>187</v>
      </c>
    </row>
    <row r="49" spans="1:8" x14ac:dyDescent="0.25">
      <c r="A49" s="25" t="s">
        <v>4</v>
      </c>
      <c r="B49" s="25" t="s">
        <v>16</v>
      </c>
      <c r="C49" s="25" t="s">
        <v>49</v>
      </c>
      <c r="D49" s="25" t="s">
        <v>61</v>
      </c>
      <c r="E49" s="25">
        <v>16500</v>
      </c>
      <c r="F49" s="25">
        <v>16500</v>
      </c>
      <c r="G49" s="26">
        <v>46061</v>
      </c>
      <c r="H49" s="25" t="s">
        <v>187</v>
      </c>
    </row>
    <row r="50" spans="1:8" x14ac:dyDescent="0.25">
      <c r="A50" s="25" t="s">
        <v>2</v>
      </c>
      <c r="B50" s="25" t="s">
        <v>14</v>
      </c>
      <c r="C50" s="25" t="s">
        <v>43</v>
      </c>
      <c r="D50" s="25" t="s">
        <v>61</v>
      </c>
      <c r="E50" s="25">
        <v>18500</v>
      </c>
      <c r="F50" s="25">
        <v>18500</v>
      </c>
      <c r="G50" s="26">
        <v>46080</v>
      </c>
      <c r="H50" s="25" t="s">
        <v>187</v>
      </c>
    </row>
    <row r="51" spans="1:8" x14ac:dyDescent="0.25">
      <c r="A51" s="25" t="s">
        <v>3</v>
      </c>
      <c r="B51" s="25" t="s">
        <v>15</v>
      </c>
      <c r="C51" s="25" t="s">
        <v>46</v>
      </c>
      <c r="D51" s="25" t="s">
        <v>61</v>
      </c>
      <c r="E51" s="25">
        <v>50000</v>
      </c>
      <c r="F51" s="25">
        <v>51000</v>
      </c>
      <c r="G51" s="26">
        <v>46060</v>
      </c>
      <c r="H51" s="25" t="s">
        <v>187</v>
      </c>
    </row>
    <row r="52" spans="1:8" ht="18" x14ac:dyDescent="0.35">
      <c r="A52" s="25" t="s">
        <v>186</v>
      </c>
      <c r="B52" s="4" t="s">
        <v>103</v>
      </c>
      <c r="C52" s="25" t="s">
        <v>168</v>
      </c>
      <c r="D52" s="25" t="s">
        <v>61</v>
      </c>
      <c r="E52" s="25">
        <v>6500</v>
      </c>
      <c r="F52" s="25">
        <v>6500</v>
      </c>
      <c r="G52" s="26">
        <v>46035</v>
      </c>
      <c r="H52" s="25" t="s">
        <v>187</v>
      </c>
    </row>
    <row r="53" spans="1:8" ht="18" x14ac:dyDescent="0.35">
      <c r="A53" s="25" t="s">
        <v>188</v>
      </c>
      <c r="B53" s="4" t="s">
        <v>106</v>
      </c>
      <c r="C53" s="25" t="s">
        <v>189</v>
      </c>
      <c r="D53" s="25" t="s">
        <v>61</v>
      </c>
      <c r="E53" s="25">
        <v>8500</v>
      </c>
      <c r="F53" s="25">
        <v>8500</v>
      </c>
      <c r="G53" s="26">
        <v>46055</v>
      </c>
      <c r="H53" s="25" t="s">
        <v>187</v>
      </c>
    </row>
    <row r="54" spans="1:8" x14ac:dyDescent="0.25">
      <c r="A54" s="25" t="s">
        <v>104</v>
      </c>
      <c r="B54" s="25">
        <v>3006</v>
      </c>
      <c r="C54" s="25" t="s">
        <v>192</v>
      </c>
      <c r="D54" s="25" t="s">
        <v>61</v>
      </c>
      <c r="E54" s="25">
        <v>14000</v>
      </c>
      <c r="F54" s="25">
        <v>0</v>
      </c>
      <c r="G54" s="26"/>
      <c r="H54" s="25" t="s">
        <v>193</v>
      </c>
    </row>
    <row r="55" spans="1:8" x14ac:dyDescent="0.25">
      <c r="A55" s="25" t="s">
        <v>104</v>
      </c>
      <c r="B55" s="25">
        <v>3012</v>
      </c>
      <c r="C55" s="25" t="s">
        <v>190</v>
      </c>
      <c r="D55" s="25" t="s">
        <v>61</v>
      </c>
      <c r="E55" s="25">
        <v>13000</v>
      </c>
      <c r="F55" s="25">
        <v>13000</v>
      </c>
      <c r="G55" s="26">
        <v>46062</v>
      </c>
      <c r="H55" s="25" t="s">
        <v>187</v>
      </c>
    </row>
    <row r="56" spans="1:8" x14ac:dyDescent="0.25">
      <c r="A56" s="25" t="s">
        <v>104</v>
      </c>
      <c r="B56" s="25">
        <v>3109</v>
      </c>
      <c r="C56" s="25" t="s">
        <v>191</v>
      </c>
      <c r="D56" s="25" t="s">
        <v>61</v>
      </c>
      <c r="E56" s="25">
        <v>12000</v>
      </c>
      <c r="F56" s="25">
        <v>12000</v>
      </c>
      <c r="G56" s="26">
        <v>46058</v>
      </c>
      <c r="H56" s="25" t="s">
        <v>187</v>
      </c>
    </row>
    <row r="57" spans="1:8" x14ac:dyDescent="0.25">
      <c r="A57" s="25" t="s">
        <v>104</v>
      </c>
      <c r="B57" s="25">
        <v>3111</v>
      </c>
      <c r="C57" s="25" t="s">
        <v>194</v>
      </c>
      <c r="D57" s="25" t="s">
        <v>61</v>
      </c>
      <c r="E57" s="25">
        <v>13000</v>
      </c>
      <c r="F57" s="25">
        <v>13000</v>
      </c>
      <c r="G57" s="26">
        <v>46055</v>
      </c>
      <c r="H57" s="25" t="s">
        <v>187</v>
      </c>
    </row>
    <row r="58" spans="1:8" x14ac:dyDescent="0.25">
      <c r="A58" s="25" t="s">
        <v>128</v>
      </c>
      <c r="B58" s="25">
        <v>98</v>
      </c>
      <c r="C58" s="25" t="s">
        <v>195</v>
      </c>
      <c r="D58" s="25" t="s">
        <v>61</v>
      </c>
      <c r="E58" s="25">
        <v>7000</v>
      </c>
      <c r="F58" s="25">
        <v>7000</v>
      </c>
      <c r="G58" s="26">
        <v>46053</v>
      </c>
      <c r="H58" s="25" t="s">
        <v>187</v>
      </c>
    </row>
    <row r="59" spans="1:8" x14ac:dyDescent="0.25">
      <c r="A59" s="25" t="s">
        <v>128</v>
      </c>
      <c r="B59" s="25">
        <v>112</v>
      </c>
      <c r="C59" s="25" t="s">
        <v>196</v>
      </c>
      <c r="D59" s="25" t="s">
        <v>61</v>
      </c>
      <c r="E59" s="25">
        <v>14000</v>
      </c>
      <c r="F59" s="25">
        <v>14000</v>
      </c>
      <c r="G59" s="26">
        <v>46327</v>
      </c>
      <c r="H59" s="25" t="s">
        <v>187</v>
      </c>
    </row>
    <row r="60" spans="1:8" x14ac:dyDescent="0.25">
      <c r="A60" s="25" t="s">
        <v>128</v>
      </c>
      <c r="B60" s="25">
        <v>113</v>
      </c>
      <c r="C60" s="25" t="s">
        <v>180</v>
      </c>
      <c r="D60" s="25" t="s">
        <v>61</v>
      </c>
      <c r="E60" s="25">
        <v>7000</v>
      </c>
      <c r="F60" s="25">
        <v>7000</v>
      </c>
      <c r="G60" s="26">
        <v>46055</v>
      </c>
      <c r="H60" s="25" t="s">
        <v>187</v>
      </c>
    </row>
    <row r="61" spans="1:8" x14ac:dyDescent="0.25">
      <c r="A61" s="25" t="s">
        <v>197</v>
      </c>
      <c r="B61" s="25">
        <v>40</v>
      </c>
      <c r="C61" s="25" t="s">
        <v>198</v>
      </c>
      <c r="D61" s="25" t="s">
        <v>61</v>
      </c>
      <c r="E61" s="25">
        <v>3500</v>
      </c>
      <c r="F61" s="25">
        <v>3500</v>
      </c>
      <c r="G61" s="26">
        <v>46052</v>
      </c>
      <c r="H61" s="25" t="s">
        <v>187</v>
      </c>
    </row>
    <row r="62" spans="1:8" x14ac:dyDescent="0.25">
      <c r="A62" s="25" t="s">
        <v>1</v>
      </c>
      <c r="B62" s="25" t="s">
        <v>12</v>
      </c>
      <c r="C62" s="25" t="s">
        <v>37</v>
      </c>
      <c r="D62" s="25" t="s">
        <v>60</v>
      </c>
      <c r="E62" s="25">
        <v>25000</v>
      </c>
      <c r="F62" s="25">
        <v>25000</v>
      </c>
      <c r="G62" s="26">
        <v>46095</v>
      </c>
      <c r="H62" s="25" t="s">
        <v>187</v>
      </c>
    </row>
    <row r="63" spans="1:8" x14ac:dyDescent="0.25">
      <c r="A63" s="25" t="s">
        <v>1</v>
      </c>
      <c r="B63" s="25" t="s">
        <v>13</v>
      </c>
      <c r="C63" s="25" t="s">
        <v>40</v>
      </c>
      <c r="D63" s="25" t="s">
        <v>60</v>
      </c>
      <c r="E63" s="25">
        <v>27000</v>
      </c>
      <c r="F63" s="25">
        <v>27000</v>
      </c>
      <c r="G63" s="26">
        <v>46082</v>
      </c>
      <c r="H63" s="25" t="s">
        <v>187</v>
      </c>
    </row>
    <row r="64" spans="1:8" x14ac:dyDescent="0.25">
      <c r="A64" s="25" t="s">
        <v>1</v>
      </c>
      <c r="B64" s="25" t="s">
        <v>11</v>
      </c>
      <c r="C64" s="25" t="s">
        <v>34</v>
      </c>
      <c r="D64" s="25" t="s">
        <v>60</v>
      </c>
      <c r="E64" s="25">
        <v>25000</v>
      </c>
      <c r="F64" s="25">
        <v>25000</v>
      </c>
      <c r="G64" s="26">
        <v>46087</v>
      </c>
      <c r="H64" s="25" t="s">
        <v>187</v>
      </c>
    </row>
    <row r="65" spans="1:8" x14ac:dyDescent="0.25">
      <c r="A65" s="25" t="s">
        <v>0</v>
      </c>
      <c r="B65" s="25" t="s">
        <v>7</v>
      </c>
      <c r="C65" s="25" t="s">
        <v>20</v>
      </c>
      <c r="D65" s="25" t="s">
        <v>60</v>
      </c>
      <c r="E65" s="25">
        <v>22000</v>
      </c>
      <c r="F65" s="25">
        <v>22000</v>
      </c>
      <c r="G65" s="26">
        <v>46082</v>
      </c>
      <c r="H65" s="25" t="s">
        <v>187</v>
      </c>
    </row>
    <row r="66" spans="1:8" x14ac:dyDescent="0.25">
      <c r="A66" s="25" t="s">
        <v>0</v>
      </c>
      <c r="B66" s="25" t="s">
        <v>8</v>
      </c>
      <c r="C66" s="25" t="s">
        <v>24</v>
      </c>
      <c r="D66" s="25" t="s">
        <v>60</v>
      </c>
      <c r="E66" s="25">
        <v>22000</v>
      </c>
      <c r="F66" s="25">
        <v>22000</v>
      </c>
      <c r="G66" s="26">
        <v>46100</v>
      </c>
      <c r="H66" s="25" t="s">
        <v>187</v>
      </c>
    </row>
    <row r="67" spans="1:8" x14ac:dyDescent="0.25">
      <c r="A67" s="25" t="s">
        <v>0</v>
      </c>
      <c r="B67" s="25" t="s">
        <v>9</v>
      </c>
      <c r="C67" s="25" t="s">
        <v>28</v>
      </c>
      <c r="D67" s="25" t="s">
        <v>60</v>
      </c>
      <c r="E67" s="25">
        <v>22000</v>
      </c>
      <c r="F67" s="25">
        <v>22000</v>
      </c>
      <c r="G67" s="26">
        <v>46082</v>
      </c>
      <c r="H67" s="25" t="s">
        <v>187</v>
      </c>
    </row>
    <row r="68" spans="1:8" ht="18" x14ac:dyDescent="0.35">
      <c r="A68" s="25" t="s">
        <v>99</v>
      </c>
      <c r="B68" s="4" t="s">
        <v>100</v>
      </c>
      <c r="C68" s="25" t="s">
        <v>163</v>
      </c>
      <c r="D68" s="25" t="s">
        <v>60</v>
      </c>
      <c r="E68" s="25">
        <v>15000</v>
      </c>
      <c r="F68" s="25">
        <v>15000</v>
      </c>
      <c r="G68" s="26">
        <v>46084</v>
      </c>
      <c r="H68" s="25" t="s">
        <v>64</v>
      </c>
    </row>
    <row r="69" spans="1:8" x14ac:dyDescent="0.25">
      <c r="A69" s="25" t="s">
        <v>0</v>
      </c>
      <c r="B69" s="25" t="s">
        <v>10</v>
      </c>
      <c r="C69" s="25" t="s">
        <v>31</v>
      </c>
      <c r="D69" s="25" t="s">
        <v>60</v>
      </c>
      <c r="E69" s="25">
        <v>23000</v>
      </c>
      <c r="F69" s="25">
        <v>23000</v>
      </c>
      <c r="G69" s="26">
        <v>46109</v>
      </c>
      <c r="H69" s="25" t="s">
        <v>187</v>
      </c>
    </row>
    <row r="70" spans="1:8" ht="18" x14ac:dyDescent="0.35">
      <c r="A70" s="25" t="s">
        <v>99</v>
      </c>
      <c r="B70" s="4" t="s">
        <v>100</v>
      </c>
      <c r="C70" s="25" t="s">
        <v>163</v>
      </c>
      <c r="D70" s="25" t="s">
        <v>60</v>
      </c>
      <c r="E70" s="25">
        <v>15000</v>
      </c>
      <c r="F70" s="25">
        <v>15000</v>
      </c>
      <c r="G70" s="26">
        <v>46108</v>
      </c>
      <c r="H70" s="25" t="s">
        <v>64</v>
      </c>
    </row>
    <row r="71" spans="1:8" x14ac:dyDescent="0.25">
      <c r="A71" s="25" t="s">
        <v>4</v>
      </c>
      <c r="B71" s="25" t="s">
        <v>16</v>
      </c>
      <c r="C71" s="25" t="s">
        <v>49</v>
      </c>
      <c r="D71" s="25" t="s">
        <v>60</v>
      </c>
      <c r="E71" s="25">
        <v>16500</v>
      </c>
      <c r="F71" s="25">
        <v>16500</v>
      </c>
      <c r="G71" s="26">
        <v>46089</v>
      </c>
      <c r="H71" s="25" t="s">
        <v>187</v>
      </c>
    </row>
    <row r="72" spans="1:8" x14ac:dyDescent="0.25">
      <c r="A72" s="25" t="s">
        <v>2</v>
      </c>
      <c r="B72" s="25" t="s">
        <v>14</v>
      </c>
      <c r="C72" s="25" t="s">
        <v>43</v>
      </c>
      <c r="D72" s="25" t="s">
        <v>60</v>
      </c>
      <c r="E72" s="25">
        <v>18500</v>
      </c>
      <c r="F72" s="25">
        <v>18500</v>
      </c>
      <c r="G72" s="26">
        <v>46103</v>
      </c>
      <c r="H72" s="25" t="s">
        <v>187</v>
      </c>
    </row>
    <row r="73" spans="1:8" x14ac:dyDescent="0.25">
      <c r="A73" s="25" t="s">
        <v>3</v>
      </c>
      <c r="B73" s="25" t="s">
        <v>15</v>
      </c>
      <c r="C73" s="25" t="s">
        <v>46</v>
      </c>
      <c r="D73" s="25" t="s">
        <v>60</v>
      </c>
      <c r="E73" s="25">
        <v>50000</v>
      </c>
      <c r="F73" s="25">
        <v>50000</v>
      </c>
      <c r="G73" s="26">
        <v>46088</v>
      </c>
      <c r="H73" s="25" t="s">
        <v>187</v>
      </c>
    </row>
    <row r="74" spans="1:8" ht="18" x14ac:dyDescent="0.35">
      <c r="A74" s="25" t="s">
        <v>186</v>
      </c>
      <c r="B74" s="4" t="s">
        <v>103</v>
      </c>
      <c r="C74" s="25" t="s">
        <v>168</v>
      </c>
      <c r="D74" s="25" t="s">
        <v>60</v>
      </c>
      <c r="E74" s="25">
        <v>6500</v>
      </c>
      <c r="F74" s="25">
        <v>6500</v>
      </c>
      <c r="G74" s="26">
        <v>46078</v>
      </c>
      <c r="H74" s="25" t="s">
        <v>187</v>
      </c>
    </row>
    <row r="75" spans="1:8" ht="18" x14ac:dyDescent="0.35">
      <c r="A75" s="25" t="s">
        <v>188</v>
      </c>
      <c r="B75" s="4" t="s">
        <v>106</v>
      </c>
      <c r="C75" s="25" t="s">
        <v>189</v>
      </c>
      <c r="D75" s="25" t="s">
        <v>60</v>
      </c>
      <c r="E75" s="25">
        <v>8500</v>
      </c>
      <c r="F75" s="25">
        <v>8500</v>
      </c>
      <c r="G75" s="26">
        <v>46083</v>
      </c>
      <c r="H75" s="25" t="s">
        <v>187</v>
      </c>
    </row>
    <row r="76" spans="1:8" x14ac:dyDescent="0.25">
      <c r="A76" s="25" t="s">
        <v>104</v>
      </c>
      <c r="B76" s="25">
        <v>3012</v>
      </c>
      <c r="C76" s="25" t="s">
        <v>190</v>
      </c>
      <c r="D76" s="25" t="s">
        <v>60</v>
      </c>
      <c r="E76" s="25">
        <v>13000</v>
      </c>
      <c r="F76" s="25">
        <v>13000</v>
      </c>
      <c r="G76" s="26">
        <v>46090</v>
      </c>
      <c r="H76" s="25" t="s">
        <v>187</v>
      </c>
    </row>
    <row r="77" spans="1:8" x14ac:dyDescent="0.25">
      <c r="A77" s="25" t="s">
        <v>104</v>
      </c>
      <c r="B77" s="25">
        <v>3109</v>
      </c>
      <c r="C77" s="25" t="s">
        <v>191</v>
      </c>
      <c r="D77" s="25" t="s">
        <v>60</v>
      </c>
      <c r="E77" s="25">
        <v>12000</v>
      </c>
      <c r="F77" s="25">
        <v>12000</v>
      </c>
      <c r="G77" s="26">
        <v>46086</v>
      </c>
      <c r="H77" s="25" t="s">
        <v>187</v>
      </c>
    </row>
    <row r="78" spans="1:8" x14ac:dyDescent="0.25">
      <c r="A78" s="25" t="s">
        <v>104</v>
      </c>
      <c r="B78" s="25">
        <v>3111</v>
      </c>
      <c r="C78" s="25" t="s">
        <v>194</v>
      </c>
      <c r="D78" s="25" t="s">
        <v>60</v>
      </c>
      <c r="E78" s="25">
        <v>13000</v>
      </c>
      <c r="F78" s="25">
        <v>13000</v>
      </c>
      <c r="G78" s="26">
        <v>46082</v>
      </c>
      <c r="H78" s="25" t="s">
        <v>187</v>
      </c>
    </row>
    <row r="79" spans="1:8" x14ac:dyDescent="0.25">
      <c r="A79" s="25" t="s">
        <v>128</v>
      </c>
      <c r="B79" s="25">
        <v>98</v>
      </c>
      <c r="C79" s="25" t="s">
        <v>195</v>
      </c>
      <c r="D79" s="25" t="s">
        <v>60</v>
      </c>
      <c r="E79" s="25">
        <v>7000</v>
      </c>
      <c r="F79" s="25">
        <v>7000</v>
      </c>
      <c r="G79" s="26">
        <v>46082</v>
      </c>
      <c r="H79" s="25" t="s">
        <v>187</v>
      </c>
    </row>
    <row r="80" spans="1:8" x14ac:dyDescent="0.25">
      <c r="A80" s="25" t="s">
        <v>128</v>
      </c>
      <c r="B80" s="25">
        <v>113</v>
      </c>
      <c r="C80" s="25" t="s">
        <v>180</v>
      </c>
      <c r="D80" s="25" t="s">
        <v>60</v>
      </c>
      <c r="E80" s="25">
        <v>7000</v>
      </c>
      <c r="F80" s="25">
        <v>7000</v>
      </c>
      <c r="G80" s="26">
        <v>46082</v>
      </c>
      <c r="H80" s="25" t="s">
        <v>187</v>
      </c>
    </row>
    <row r="81" spans="1:8" x14ac:dyDescent="0.25">
      <c r="A81" s="25" t="s">
        <v>197</v>
      </c>
      <c r="B81" s="25">
        <v>40</v>
      </c>
      <c r="C81" s="25" t="s">
        <v>198</v>
      </c>
      <c r="D81" s="25" t="s">
        <v>60</v>
      </c>
      <c r="E81" s="25">
        <v>3500</v>
      </c>
      <c r="F81" s="25">
        <v>3500</v>
      </c>
      <c r="G81" s="26">
        <v>46080</v>
      </c>
      <c r="H81" s="25" t="s">
        <v>187</v>
      </c>
    </row>
    <row r="82" spans="1:8" x14ac:dyDescent="0.25">
      <c r="A82" s="25" t="s">
        <v>1</v>
      </c>
      <c r="B82" s="25" t="s">
        <v>12</v>
      </c>
      <c r="C82" s="25" t="s">
        <v>37</v>
      </c>
      <c r="D82" s="25" t="s">
        <v>57</v>
      </c>
      <c r="E82" s="25">
        <v>25000</v>
      </c>
      <c r="F82" s="25">
        <v>25000</v>
      </c>
      <c r="G82" s="26">
        <v>46126</v>
      </c>
      <c r="H82" s="25" t="s">
        <v>187</v>
      </c>
    </row>
    <row r="83" spans="1:8" x14ac:dyDescent="0.25">
      <c r="A83" s="25" t="s">
        <v>1</v>
      </c>
      <c r="B83" s="25" t="s">
        <v>13</v>
      </c>
      <c r="C83" s="25" t="s">
        <v>40</v>
      </c>
      <c r="D83" s="25" t="s">
        <v>57</v>
      </c>
      <c r="E83" s="25">
        <v>27000</v>
      </c>
      <c r="F83" s="25">
        <v>27000</v>
      </c>
      <c r="G83" s="26">
        <v>46113</v>
      </c>
      <c r="H83" s="25" t="s">
        <v>187</v>
      </c>
    </row>
    <row r="84" spans="1:8" x14ac:dyDescent="0.25">
      <c r="A84" s="25" t="s">
        <v>1</v>
      </c>
      <c r="B84" s="25" t="s">
        <v>11</v>
      </c>
      <c r="C84" s="25" t="s">
        <v>34</v>
      </c>
      <c r="D84" s="25" t="s">
        <v>57</v>
      </c>
      <c r="E84" s="25">
        <v>25000</v>
      </c>
      <c r="F84" s="25">
        <v>25000</v>
      </c>
      <c r="G84" s="26">
        <v>46118</v>
      </c>
      <c r="H84" s="25" t="s">
        <v>187</v>
      </c>
    </row>
    <row r="85" spans="1:8" x14ac:dyDescent="0.25">
      <c r="A85" s="25" t="s">
        <v>0</v>
      </c>
      <c r="B85" s="25" t="s">
        <v>7</v>
      </c>
      <c r="C85" s="25" t="s">
        <v>20</v>
      </c>
      <c r="D85" s="25" t="s">
        <v>57</v>
      </c>
      <c r="E85" s="25">
        <v>22000</v>
      </c>
      <c r="F85" s="25">
        <v>22000</v>
      </c>
      <c r="G85" s="26">
        <v>46113</v>
      </c>
      <c r="H85" s="25" t="s">
        <v>187</v>
      </c>
    </row>
    <row r="86" spans="1:8" x14ac:dyDescent="0.25">
      <c r="A86" s="25" t="s">
        <v>0</v>
      </c>
      <c r="B86" s="25" t="s">
        <v>8</v>
      </c>
      <c r="C86" s="25" t="s">
        <v>24</v>
      </c>
      <c r="D86" s="25" t="s">
        <v>57</v>
      </c>
      <c r="E86" s="25">
        <v>22000</v>
      </c>
      <c r="F86" s="25">
        <v>0</v>
      </c>
      <c r="G86" s="26" t="s">
        <v>58</v>
      </c>
      <c r="H86" s="25" t="s">
        <v>59</v>
      </c>
    </row>
    <row r="87" spans="1:8" x14ac:dyDescent="0.25">
      <c r="A87" s="25" t="s">
        <v>0</v>
      </c>
      <c r="B87" s="25" t="s">
        <v>9</v>
      </c>
      <c r="C87" s="25" t="s">
        <v>28</v>
      </c>
      <c r="D87" s="25" t="s">
        <v>57</v>
      </c>
      <c r="E87" s="25">
        <v>22000</v>
      </c>
      <c r="F87" s="25">
        <v>22000</v>
      </c>
      <c r="G87" s="26">
        <v>46113</v>
      </c>
      <c r="H87" s="25" t="s">
        <v>187</v>
      </c>
    </row>
    <row r="88" spans="1:8" x14ac:dyDescent="0.25">
      <c r="A88" s="25" t="s">
        <v>0</v>
      </c>
      <c r="B88" s="25" t="s">
        <v>10</v>
      </c>
      <c r="C88" s="25" t="s">
        <v>31</v>
      </c>
      <c r="D88" s="25" t="s">
        <v>57</v>
      </c>
      <c r="E88" s="25">
        <v>23000</v>
      </c>
      <c r="F88" s="25">
        <v>0</v>
      </c>
      <c r="G88" s="26" t="s">
        <v>58</v>
      </c>
      <c r="H88" s="25" t="s">
        <v>59</v>
      </c>
    </row>
    <row r="89" spans="1:8" x14ac:dyDescent="0.25">
      <c r="A89" s="25" t="s">
        <v>4</v>
      </c>
      <c r="B89" s="25" t="s">
        <v>16</v>
      </c>
      <c r="C89" s="25" t="s">
        <v>49</v>
      </c>
      <c r="D89" s="25" t="s">
        <v>57</v>
      </c>
      <c r="E89" s="25">
        <v>16500</v>
      </c>
      <c r="F89" s="25">
        <v>16500</v>
      </c>
      <c r="G89" s="26">
        <v>46120</v>
      </c>
      <c r="H89" s="25" t="s">
        <v>187</v>
      </c>
    </row>
    <row r="90" spans="1:8" x14ac:dyDescent="0.25">
      <c r="A90" s="25" t="s">
        <v>2</v>
      </c>
      <c r="B90" s="25" t="s">
        <v>14</v>
      </c>
      <c r="C90" s="25" t="s">
        <v>43</v>
      </c>
      <c r="D90" s="25" t="s">
        <v>57</v>
      </c>
      <c r="E90" s="25">
        <v>18500</v>
      </c>
      <c r="F90" s="25">
        <v>0</v>
      </c>
      <c r="G90" s="26" t="s">
        <v>58</v>
      </c>
      <c r="H90" s="25" t="s">
        <v>59</v>
      </c>
    </row>
    <row r="91" spans="1:8" x14ac:dyDescent="0.25">
      <c r="A91" s="25" t="s">
        <v>3</v>
      </c>
      <c r="B91" s="25" t="s">
        <v>15</v>
      </c>
      <c r="C91" s="25" t="s">
        <v>46</v>
      </c>
      <c r="D91" s="25" t="s">
        <v>57</v>
      </c>
      <c r="E91" s="25">
        <v>50000</v>
      </c>
      <c r="F91" s="25">
        <v>50000</v>
      </c>
      <c r="G91" s="26">
        <v>46120</v>
      </c>
      <c r="H91" s="25" t="s">
        <v>187</v>
      </c>
    </row>
    <row r="92" spans="1:8" ht="18" x14ac:dyDescent="0.35">
      <c r="A92" s="25" t="s">
        <v>186</v>
      </c>
      <c r="B92" s="4" t="s">
        <v>103</v>
      </c>
      <c r="C92" s="25" t="s">
        <v>168</v>
      </c>
      <c r="D92" s="25" t="s">
        <v>57</v>
      </c>
      <c r="E92" s="25">
        <v>6500</v>
      </c>
      <c r="F92" s="25">
        <v>6500</v>
      </c>
      <c r="G92" s="26">
        <v>46106</v>
      </c>
      <c r="H92" s="25" t="s">
        <v>187</v>
      </c>
    </row>
    <row r="93" spans="1:8" ht="18" x14ac:dyDescent="0.35">
      <c r="A93" s="25" t="s">
        <v>188</v>
      </c>
      <c r="B93" s="4" t="s">
        <v>106</v>
      </c>
      <c r="C93" s="25" t="s">
        <v>189</v>
      </c>
      <c r="D93" s="25" t="s">
        <v>57</v>
      </c>
      <c r="E93" s="25">
        <v>8500</v>
      </c>
      <c r="F93" s="25">
        <v>8500</v>
      </c>
      <c r="G93" s="26">
        <v>46114</v>
      </c>
      <c r="H93" s="25" t="s">
        <v>187</v>
      </c>
    </row>
    <row r="94" spans="1:8" x14ac:dyDescent="0.25">
      <c r="A94" s="25" t="s">
        <v>104</v>
      </c>
      <c r="B94" s="25">
        <v>3012</v>
      </c>
      <c r="C94" s="25" t="s">
        <v>190</v>
      </c>
      <c r="D94" s="25" t="s">
        <v>57</v>
      </c>
      <c r="E94" s="25">
        <v>13000</v>
      </c>
      <c r="F94" s="25">
        <v>13000</v>
      </c>
      <c r="G94" s="26">
        <v>46121</v>
      </c>
      <c r="H94" s="25" t="s">
        <v>187</v>
      </c>
    </row>
    <row r="95" spans="1:8" x14ac:dyDescent="0.25">
      <c r="A95" s="25" t="s">
        <v>104</v>
      </c>
      <c r="B95" s="25">
        <v>3109</v>
      </c>
      <c r="C95" s="25" t="s">
        <v>191</v>
      </c>
      <c r="D95" s="25" t="s">
        <v>57</v>
      </c>
      <c r="E95" s="25">
        <v>12000</v>
      </c>
      <c r="F95" s="25">
        <v>12000</v>
      </c>
      <c r="G95" s="26">
        <v>46117</v>
      </c>
      <c r="H95" s="25" t="s">
        <v>187</v>
      </c>
    </row>
    <row r="96" spans="1:8" x14ac:dyDescent="0.25">
      <c r="A96" s="25" t="s">
        <v>128</v>
      </c>
      <c r="B96" s="25">
        <v>98</v>
      </c>
      <c r="C96" s="25" t="s">
        <v>195</v>
      </c>
      <c r="D96" s="25" t="s">
        <v>57</v>
      </c>
      <c r="E96" s="25">
        <v>7000</v>
      </c>
      <c r="F96" s="25">
        <v>7000</v>
      </c>
      <c r="G96" s="26">
        <v>46115</v>
      </c>
      <c r="H96" s="25" t="s">
        <v>187</v>
      </c>
    </row>
    <row r="97" spans="1:8" x14ac:dyDescent="0.25">
      <c r="A97" s="25" t="s">
        <v>128</v>
      </c>
      <c r="B97" s="25">
        <v>113</v>
      </c>
      <c r="C97" s="25" t="s">
        <v>180</v>
      </c>
      <c r="D97" s="25" t="s">
        <v>57</v>
      </c>
      <c r="E97" s="25">
        <v>7000</v>
      </c>
      <c r="F97" s="25">
        <v>7000</v>
      </c>
      <c r="G97" s="26">
        <v>46113</v>
      </c>
      <c r="H97" s="25" t="s">
        <v>187</v>
      </c>
    </row>
    <row r="98" spans="1:8" x14ac:dyDescent="0.25">
      <c r="A98" s="25" t="s">
        <v>197</v>
      </c>
      <c r="B98" s="25">
        <v>40</v>
      </c>
      <c r="C98" s="25" t="s">
        <v>198</v>
      </c>
      <c r="D98" s="25" t="s">
        <v>57</v>
      </c>
      <c r="E98" s="25">
        <v>3500</v>
      </c>
      <c r="F98" s="25">
        <v>3500</v>
      </c>
      <c r="G98" s="26">
        <v>46112</v>
      </c>
      <c r="H98" s="25" t="s">
        <v>187</v>
      </c>
    </row>
  </sheetData>
  <sortState xmlns:xlrd2="http://schemas.microsoft.com/office/spreadsheetml/2017/richdata2" ref="A2:H98">
    <sortCondition ref="D2:D98"/>
  </sortState>
  <phoneticPr fontId="6" type="noConversion"/>
  <pageMargins left="0.7" right="0.7" top="0.75" bottom="0.75" header="0.3" footer="0.3"/>
  <ignoredErrors>
    <ignoredError sqref="C1:H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Properties</vt:lpstr>
      <vt:lpstr>Rent</vt:lpstr>
      <vt:lpstr>Sheet2</vt:lpstr>
      <vt:lpstr>Tenants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 Asawachaisopon</cp:lastModifiedBy>
  <cp:lastPrinted>2026-04-16T10:26:41Z</cp:lastPrinted>
  <dcterms:modified xsi:type="dcterms:W3CDTF">2026-04-16T14:15:06Z</dcterms:modified>
</cp:coreProperties>
</file>