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hin\Downloads\"/>
    </mc:Choice>
  </mc:AlternateContent>
  <xr:revisionPtr revIDLastSave="0" documentId="13_ncr:1_{AFA01F59-6CF3-46AA-85C9-2749DB76CC6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ชีต1" sheetId="1" r:id="rId1"/>
    <sheet name="ชีต2" sheetId="2" r:id="rId2"/>
  </sheets>
  <calcPr calcId="191029"/>
</workbook>
</file>

<file path=xl/calcChain.xml><?xml version="1.0" encoding="utf-8"?>
<calcChain xmlns="http://schemas.openxmlformats.org/spreadsheetml/2006/main">
  <c r="P37" i="2" l="1"/>
  <c r="O37" i="2"/>
  <c r="N37" i="2"/>
  <c r="M37" i="2"/>
  <c r="L37" i="2"/>
  <c r="K37" i="2"/>
  <c r="G39" i="1"/>
</calcChain>
</file>

<file path=xl/sharedStrings.xml><?xml version="1.0" encoding="utf-8"?>
<sst xmlns="http://schemas.openxmlformats.org/spreadsheetml/2006/main" count="209" uniqueCount="81">
  <si>
    <t>ภาษีที่ดิน (บ้านและคอนโด)</t>
  </si>
  <si>
    <t>จังหวัด</t>
  </si>
  <si>
    <t>ที่ดิน</t>
  </si>
  <si>
    <t>โฉนด</t>
  </si>
  <si>
    <t>ขนาด</t>
  </si>
  <si>
    <t>ตรม</t>
  </si>
  <si>
    <t>ราคาประเมิน</t>
  </si>
  <si>
    <t>ค่าภาษี</t>
  </si>
  <si>
    <t>BKK</t>
  </si>
  <si>
    <t>Silom Terrace</t>
  </si>
  <si>
    <t>57/89</t>
  </si>
  <si>
    <t>I-HOUSE RCA</t>
  </si>
  <si>
    <t>39/601</t>
  </si>
  <si>
    <t>Diamond</t>
  </si>
  <si>
    <t>LPN ราม16</t>
  </si>
  <si>
    <t>55/53</t>
  </si>
  <si>
    <t>ภัทร ศรีพัฒน์</t>
  </si>
  <si>
    <t>15/40</t>
  </si>
  <si>
    <t>15/334</t>
  </si>
  <si>
    <t>พีคทาวเวอร์</t>
  </si>
  <si>
    <t>17/112</t>
  </si>
  <si>
    <t>17/299</t>
  </si>
  <si>
    <t>17/39</t>
  </si>
  <si>
    <t>Knightbridge 4209</t>
  </si>
  <si>
    <t>IDEO</t>
  </si>
  <si>
    <t>LIFE</t>
  </si>
  <si>
    <t>996/317</t>
  </si>
  <si>
    <t>996/384</t>
  </si>
  <si>
    <t>996/500</t>
  </si>
  <si>
    <t>PLUG PLAY</t>
  </si>
  <si>
    <t>1155/459</t>
  </si>
  <si>
    <t>Khaoyai</t>
  </si>
  <si>
    <t>บ้านทิวเขา</t>
  </si>
  <si>
    <t>Romantic</t>
  </si>
  <si>
    <t>A 302</t>
  </si>
  <si>
    <t>B 501</t>
  </si>
  <si>
    <t>B 502</t>
  </si>
  <si>
    <t>B 503</t>
  </si>
  <si>
    <t>B 504</t>
  </si>
  <si>
    <t>B 506</t>
  </si>
  <si>
    <t>B 507</t>
  </si>
  <si>
    <t>B 508</t>
  </si>
  <si>
    <t>Pattaya</t>
  </si>
  <si>
    <t>Andromedra</t>
  </si>
  <si>
    <t>27 F5</t>
  </si>
  <si>
    <t>Florida</t>
  </si>
  <si>
    <t>B103</t>
  </si>
  <si>
    <t>B104</t>
  </si>
  <si>
    <t>ภาษีที่ดิน</t>
  </si>
  <si>
    <t>การจ่าย</t>
  </si>
  <si>
    <t>878/76 นาราสิริ</t>
  </si>
  <si>
    <t>SIAM KINIK</t>
  </si>
  <si>
    <t>0-2-58</t>
  </si>
  <si>
    <t>0-2-54</t>
  </si>
  <si>
    <t>0-0-94</t>
  </si>
  <si>
    <t>0-0-43</t>
  </si>
  <si>
    <t>0-0-44</t>
  </si>
  <si>
    <t>0-3-98</t>
  </si>
  <si>
    <t>ซอย 18</t>
  </si>
  <si>
    <t>1-0-0</t>
  </si>
  <si>
    <t>แสมดำ</t>
  </si>
  <si>
    <t>กาญจนาพิเศก</t>
  </si>
  <si>
    <t>Motorway soi 7</t>
  </si>
  <si>
    <t>1-0-10</t>
  </si>
  <si>
    <t>Toscana</t>
  </si>
  <si>
    <t>14A/14</t>
  </si>
  <si>
    <t>ภูผาธารา B2</t>
  </si>
  <si>
    <t>Golden Oak</t>
  </si>
  <si>
    <t>10-0-7</t>
  </si>
  <si>
    <t>1-0-26</t>
  </si>
  <si>
    <t>ลุงศีลชัย</t>
  </si>
  <si>
    <t>-</t>
  </si>
  <si>
    <t>6-0-0</t>
  </si>
  <si>
    <t>9-0-9</t>
  </si>
  <si>
    <t>นุช 41 ไร่</t>
  </si>
  <si>
    <t>41-2-80</t>
  </si>
  <si>
    <t>5 ไร่ หมูสี</t>
  </si>
  <si>
    <t>5-0-0</t>
  </si>
  <si>
    <t>7 ไร่ ป้าวิภา</t>
  </si>
  <si>
    <t>3-3-73.6</t>
  </si>
  <si>
    <t>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</si>
</sst>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87" formatCode="d/m/yy"/>
    <numFmt numFmtId="188" formatCode="d\-m\-yy"/>
    <numFmt numFmtId="189" formatCode="yyyy\-m\-d"/>
  </numFmts>
  <fonts count="11">
    <font>
      <sz val="10"/>
      <color rgb="FF000000"/>
      <name val="Arial"/>
      <scheme val="minor"/>
    </font>
    <font>
      <sz val="28"/>
      <color rgb="FF000000"/>
      <name val="Tahoma"/>
    </font>
    <font>
      <sz val="10"/>
      <name val="Arial"/>
    </font>
    <font>
      <sz val="18"/>
      <color rgb="FF000000"/>
      <name val="&quot;Times New Roman&quot;"/>
    </font>
    <font>
      <sz val="10"/>
      <color theme="1"/>
      <name val="Arial"/>
      <scheme val="minor"/>
    </font>
    <font>
      <sz val="18"/>
      <color rgb="FF000000"/>
      <name val="Times New Roman"/>
    </font>
    <font>
      <sz val="14"/>
      <color rgb="FF000000"/>
      <name val="Times New Roman"/>
    </font>
    <font>
      <sz val="11"/>
      <color rgb="FF000000"/>
      <name val="Times New Roman"/>
    </font>
    <font>
      <sz val="14"/>
      <color rgb="FF000000"/>
      <name val="Tahoma"/>
    </font>
    <font>
      <sz val="11"/>
      <color rgb="FF000000"/>
      <name val="Tahoma"/>
    </font>
    <font>
      <b/>
      <sz val="18"/>
      <color rgb="FF000000"/>
      <name val="&quot;Times New Roman&quot;"/>
    </font>
  </fonts>
  <fills count="4">
    <fill>
      <patternFill patternType="none"/>
    </fill>
    <fill>
      <patternFill patternType="gray125"/>
    </fill>
    <fill>
      <patternFill patternType="solid">
        <fgColor rgb="FFE7E6E6"/>
        <bgColor rgb="FFE7E6E6"/>
      </patternFill>
    </fill>
    <fill>
      <patternFill patternType="solid">
        <fgColor rgb="FF808080"/>
        <bgColor rgb="FF808080"/>
      </patternFill>
    </fill>
  </fills>
  <borders count="8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4" fillId="0" borderId="7" xfId="0" applyFont="1" applyBorder="1"/>
    <xf numFmtId="4" fontId="3" fillId="0" borderId="4" xfId="0" applyNumberFormat="1" applyFont="1" applyBorder="1" applyAlignment="1">
      <alignment horizontal="center"/>
    </xf>
    <xf numFmtId="187" fontId="4" fillId="0" borderId="7" xfId="0" applyNumberFormat="1" applyFont="1" applyBorder="1"/>
    <xf numFmtId="4" fontId="3" fillId="2" borderId="4" xfId="0" applyNumberFormat="1" applyFont="1" applyFill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7" fillId="0" borderId="4" xfId="0" applyFont="1" applyBorder="1"/>
    <xf numFmtId="4" fontId="5" fillId="0" borderId="4" xfId="0" applyNumberFormat="1" applyFont="1" applyBorder="1"/>
    <xf numFmtId="0" fontId="8" fillId="0" borderId="4" xfId="0" applyFont="1" applyBorder="1" applyAlignment="1">
      <alignment horizontal="center"/>
    </xf>
    <xf numFmtId="0" fontId="9" fillId="0" borderId="4" xfId="0" applyFont="1" applyBorder="1"/>
    <xf numFmtId="0" fontId="3" fillId="3" borderId="0" xfId="0" applyFont="1" applyFill="1"/>
    <xf numFmtId="0" fontId="3" fillId="3" borderId="3" xfId="0" applyFont="1" applyFill="1" applyBorder="1"/>
    <xf numFmtId="0" fontId="3" fillId="3" borderId="4" xfId="0" applyFont="1" applyFill="1" applyBorder="1"/>
    <xf numFmtId="4" fontId="10" fillId="0" borderId="4" xfId="0" applyNumberFormat="1" applyFont="1" applyBorder="1" applyAlignment="1">
      <alignment horizontal="left"/>
    </xf>
    <xf numFmtId="4" fontId="10" fillId="2" borderId="4" xfId="0" applyNumberFormat="1" applyFont="1" applyFill="1" applyBorder="1" applyAlignment="1">
      <alignment horizontal="left"/>
    </xf>
    <xf numFmtId="0" fontId="9" fillId="0" borderId="0" xfId="0" applyFont="1"/>
    <xf numFmtId="0" fontId="9" fillId="0" borderId="0" xfId="0" applyFont="1" applyAlignment="1">
      <alignment horizontal="right"/>
    </xf>
    <xf numFmtId="14" fontId="4" fillId="0" borderId="7" xfId="0" applyNumberFormat="1" applyFont="1" applyBorder="1"/>
    <xf numFmtId="188" fontId="3" fillId="0" borderId="4" xfId="0" applyNumberFormat="1" applyFont="1" applyBorder="1" applyAlignment="1">
      <alignment horizontal="center"/>
    </xf>
    <xf numFmtId="189" fontId="3" fillId="0" borderId="4" xfId="0" applyNumberFormat="1" applyFont="1" applyBorder="1" applyAlignment="1">
      <alignment horizontal="center"/>
    </xf>
    <xf numFmtId="189" fontId="8" fillId="0" borderId="4" xfId="0" applyNumberFormat="1" applyFont="1" applyBorder="1" applyAlignment="1">
      <alignment horizontal="center"/>
    </xf>
    <xf numFmtId="188" fontId="8" fillId="0" borderId="4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2" xfId="0" applyFont="1" applyBorder="1"/>
    <xf numFmtId="0" fontId="1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5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H42"/>
  <sheetViews>
    <sheetView tabSelected="1" workbookViewId="0">
      <selection activeCell="H6" sqref="H6"/>
    </sheetView>
  </sheetViews>
  <sheetFormatPr defaultColWidth="12.6640625" defaultRowHeight="15.75" customHeight="1"/>
  <cols>
    <col min="3" max="3" width="23.77734375" customWidth="1"/>
    <col min="6" max="6" width="23.33203125" bestFit="1" customWidth="1"/>
    <col min="7" max="7" width="16.5546875" bestFit="1" customWidth="1"/>
  </cols>
  <sheetData>
    <row r="1" spans="1:8" ht="46.8" customHeight="1">
      <c r="A1" s="1"/>
      <c r="B1" s="32" t="s">
        <v>0</v>
      </c>
      <c r="C1" s="33"/>
      <c r="D1" s="33"/>
      <c r="E1" s="33"/>
    </row>
    <row r="2" spans="1:8" ht="15.75" customHeight="1">
      <c r="A2" s="1"/>
      <c r="B2" s="2"/>
      <c r="C2" s="3"/>
      <c r="D2" s="3"/>
      <c r="E2" s="3"/>
      <c r="F2" s="34">
        <v>2569</v>
      </c>
      <c r="G2" s="36"/>
      <c r="H2" s="35"/>
    </row>
    <row r="3" spans="1:8" ht="15.75" customHeight="1">
      <c r="A3" s="4"/>
      <c r="B3" s="5" t="s">
        <v>1</v>
      </c>
      <c r="C3" s="6" t="s">
        <v>2</v>
      </c>
      <c r="D3" s="6" t="s">
        <v>3</v>
      </c>
      <c r="E3" s="6" t="s">
        <v>5</v>
      </c>
      <c r="F3" s="6" t="s">
        <v>6</v>
      </c>
      <c r="G3" s="7" t="s">
        <v>7</v>
      </c>
      <c r="H3" s="8" t="s">
        <v>80</v>
      </c>
    </row>
    <row r="4" spans="1:8" ht="15.75" customHeight="1">
      <c r="A4" s="4"/>
      <c r="B4" s="5" t="s">
        <v>8</v>
      </c>
      <c r="C4" s="6" t="s">
        <v>9</v>
      </c>
      <c r="D4" s="6" t="s">
        <v>10</v>
      </c>
      <c r="E4" s="6">
        <v>32</v>
      </c>
      <c r="F4" s="9">
        <v>2297484</v>
      </c>
      <c r="G4" s="7">
        <v>459.5</v>
      </c>
      <c r="H4" s="8"/>
    </row>
    <row r="5" spans="1:8" ht="15.75" customHeight="1">
      <c r="A5" s="4"/>
      <c r="B5" s="5" t="s">
        <v>8</v>
      </c>
      <c r="C5" s="6" t="s">
        <v>11</v>
      </c>
      <c r="D5" s="6" t="s">
        <v>12</v>
      </c>
      <c r="E5" s="6">
        <v>24.87</v>
      </c>
      <c r="F5" s="9">
        <v>1099254</v>
      </c>
      <c r="G5" s="7">
        <v>219.85</v>
      </c>
      <c r="H5" s="8"/>
    </row>
    <row r="6" spans="1:8" ht="15.75" customHeight="1">
      <c r="A6" s="4"/>
      <c r="B6" s="5" t="s">
        <v>8</v>
      </c>
      <c r="C6" s="6" t="s">
        <v>13</v>
      </c>
      <c r="D6" s="6">
        <v>3006</v>
      </c>
      <c r="E6" s="6">
        <v>34.61</v>
      </c>
      <c r="F6" s="9">
        <v>2929328</v>
      </c>
      <c r="G6" s="7">
        <v>585.87</v>
      </c>
      <c r="H6" s="8"/>
    </row>
    <row r="7" spans="1:8" ht="15.75" customHeight="1">
      <c r="A7" s="4"/>
      <c r="B7" s="5" t="s">
        <v>8</v>
      </c>
      <c r="C7" s="6" t="s">
        <v>13</v>
      </c>
      <c r="D7" s="6">
        <v>3012</v>
      </c>
      <c r="E7" s="6">
        <v>35.32</v>
      </c>
      <c r="F7" s="9">
        <v>2998012</v>
      </c>
      <c r="G7" s="7">
        <v>599.6</v>
      </c>
      <c r="H7" s="8"/>
    </row>
    <row r="8" spans="1:8" ht="15.75" customHeight="1">
      <c r="A8" s="4"/>
      <c r="B8" s="5" t="s">
        <v>8</v>
      </c>
      <c r="C8" s="6" t="s">
        <v>13</v>
      </c>
      <c r="D8" s="6">
        <v>3109</v>
      </c>
      <c r="E8" s="6">
        <v>34.869999999999997</v>
      </c>
      <c r="F8" s="9">
        <v>2983422</v>
      </c>
      <c r="G8" s="7">
        <v>596.67999999999995</v>
      </c>
      <c r="H8" s="8"/>
    </row>
    <row r="9" spans="1:8" ht="15.75" customHeight="1">
      <c r="A9" s="4"/>
      <c r="B9" s="5" t="s">
        <v>8</v>
      </c>
      <c r="C9" s="6" t="s">
        <v>13</v>
      </c>
      <c r="D9" s="6">
        <v>3111</v>
      </c>
      <c r="E9" s="6">
        <v>34.869999999999997</v>
      </c>
      <c r="F9" s="9">
        <v>2983422</v>
      </c>
      <c r="G9" s="7">
        <v>596.67999999999995</v>
      </c>
      <c r="H9" s="8"/>
    </row>
    <row r="10" spans="1:8" ht="15.75" customHeight="1">
      <c r="A10" s="4"/>
      <c r="B10" s="5" t="s">
        <v>8</v>
      </c>
      <c r="C10" s="6" t="s">
        <v>14</v>
      </c>
      <c r="D10" s="6" t="s">
        <v>15</v>
      </c>
      <c r="E10" s="6">
        <v>32.21</v>
      </c>
      <c r="F10" s="9">
        <v>1111689</v>
      </c>
      <c r="G10" s="7">
        <v>222.34</v>
      </c>
      <c r="H10" s="8"/>
    </row>
    <row r="11" spans="1:8" ht="15.75" customHeight="1">
      <c r="A11" s="4"/>
      <c r="B11" s="5" t="s">
        <v>8</v>
      </c>
      <c r="C11" s="6" t="s">
        <v>16</v>
      </c>
      <c r="D11" s="6" t="s">
        <v>17</v>
      </c>
      <c r="E11" s="6">
        <v>31</v>
      </c>
      <c r="F11" s="9">
        <v>536300</v>
      </c>
      <c r="G11" s="7">
        <v>107.26</v>
      </c>
      <c r="H11" s="10">
        <v>25296</v>
      </c>
    </row>
    <row r="12" spans="1:8" ht="15.75" customHeight="1">
      <c r="A12" s="4"/>
      <c r="B12" s="5" t="s">
        <v>8</v>
      </c>
      <c r="C12" s="6" t="s">
        <v>16</v>
      </c>
      <c r="D12" s="6" t="s">
        <v>18</v>
      </c>
      <c r="E12" s="6">
        <v>31</v>
      </c>
      <c r="F12" s="9">
        <v>523900</v>
      </c>
      <c r="G12" s="7">
        <v>104.78</v>
      </c>
      <c r="H12" s="10">
        <v>25296</v>
      </c>
    </row>
    <row r="13" spans="1:8" ht="15.75" customHeight="1">
      <c r="A13" s="4"/>
      <c r="B13" s="5" t="s">
        <v>8</v>
      </c>
      <c r="C13" s="6" t="s">
        <v>19</v>
      </c>
      <c r="D13" s="6" t="s">
        <v>20</v>
      </c>
      <c r="E13" s="6">
        <v>58.38</v>
      </c>
      <c r="F13" s="9">
        <v>1331064</v>
      </c>
      <c r="G13" s="7">
        <v>266.20999999999998</v>
      </c>
      <c r="H13" s="10">
        <v>25296</v>
      </c>
    </row>
    <row r="14" spans="1:8" ht="15.75" customHeight="1">
      <c r="A14" s="4"/>
      <c r="B14" s="5" t="s">
        <v>8</v>
      </c>
      <c r="C14" s="6" t="s">
        <v>19</v>
      </c>
      <c r="D14" s="6" t="s">
        <v>21</v>
      </c>
      <c r="E14" s="6">
        <v>55.48</v>
      </c>
      <c r="F14" s="9">
        <v>1337068</v>
      </c>
      <c r="G14" s="7">
        <v>267.41000000000003</v>
      </c>
      <c r="H14" s="10">
        <v>25296</v>
      </c>
    </row>
    <row r="15" spans="1:8" ht="15.75" customHeight="1">
      <c r="A15" s="4"/>
      <c r="B15" s="5" t="s">
        <v>8</v>
      </c>
      <c r="C15" s="6" t="s">
        <v>19</v>
      </c>
      <c r="D15" s="6" t="s">
        <v>22</v>
      </c>
      <c r="E15" s="6">
        <v>60.15</v>
      </c>
      <c r="F15" s="9">
        <v>1347360</v>
      </c>
      <c r="G15" s="7">
        <v>269.47000000000003</v>
      </c>
      <c r="H15" s="10">
        <v>25296</v>
      </c>
    </row>
    <row r="16" spans="1:8" ht="15.75" customHeight="1">
      <c r="A16" s="4"/>
      <c r="B16" s="5" t="s">
        <v>8</v>
      </c>
      <c r="C16" s="6" t="s">
        <v>23</v>
      </c>
      <c r="D16" s="6">
        <v>4209</v>
      </c>
      <c r="E16" s="6">
        <v>26.97</v>
      </c>
      <c r="F16" s="9">
        <v>3534596</v>
      </c>
      <c r="G16" s="11">
        <v>706</v>
      </c>
      <c r="H16" s="10">
        <v>25296</v>
      </c>
    </row>
    <row r="17" spans="1:8" ht="15.75" customHeight="1">
      <c r="A17" s="4"/>
      <c r="B17" s="5" t="s">
        <v>8</v>
      </c>
      <c r="C17" s="6" t="s">
        <v>24</v>
      </c>
      <c r="D17" s="6">
        <v>1208</v>
      </c>
      <c r="E17" s="6">
        <v>28</v>
      </c>
      <c r="F17" s="9">
        <v>4258041</v>
      </c>
      <c r="G17" s="11">
        <v>851</v>
      </c>
      <c r="H17" s="8"/>
    </row>
    <row r="18" spans="1:8" ht="15.75" customHeight="1">
      <c r="A18" s="4"/>
      <c r="B18" s="5" t="s">
        <v>8</v>
      </c>
      <c r="C18" s="6" t="s">
        <v>24</v>
      </c>
      <c r="D18" s="6">
        <v>1705</v>
      </c>
      <c r="E18" s="6">
        <v>28</v>
      </c>
      <c r="F18" s="9">
        <v>4268394</v>
      </c>
      <c r="G18" s="11">
        <v>853</v>
      </c>
      <c r="H18" s="8"/>
    </row>
    <row r="19" spans="1:8" ht="15.75" customHeight="1">
      <c r="A19" s="4"/>
      <c r="B19" s="5" t="s">
        <v>8</v>
      </c>
      <c r="C19" s="6" t="s">
        <v>24</v>
      </c>
      <c r="D19" s="6">
        <v>1706</v>
      </c>
      <c r="E19" s="6">
        <v>28.79</v>
      </c>
      <c r="F19" s="9">
        <v>4258041</v>
      </c>
      <c r="G19" s="11">
        <v>851</v>
      </c>
      <c r="H19" s="10">
        <v>25296</v>
      </c>
    </row>
    <row r="20" spans="1:8" ht="15.75" customHeight="1">
      <c r="A20" s="4"/>
      <c r="B20" s="5" t="s">
        <v>8</v>
      </c>
      <c r="C20" s="6" t="s">
        <v>24</v>
      </c>
      <c r="D20" s="6">
        <v>1708</v>
      </c>
      <c r="E20" s="6">
        <v>28.86</v>
      </c>
      <c r="F20" s="9">
        <v>4268394</v>
      </c>
      <c r="G20" s="11">
        <v>853</v>
      </c>
      <c r="H20" s="10">
        <v>25296</v>
      </c>
    </row>
    <row r="21" spans="1:8" ht="15.75" customHeight="1">
      <c r="A21" s="4"/>
      <c r="B21" s="12" t="s">
        <v>8</v>
      </c>
      <c r="C21" s="13" t="s">
        <v>25</v>
      </c>
      <c r="D21" s="14" t="s">
        <v>26</v>
      </c>
      <c r="E21" s="13">
        <v>34</v>
      </c>
      <c r="F21" s="17">
        <v>4601628</v>
      </c>
      <c r="G21" s="15">
        <v>920.33</v>
      </c>
      <c r="H21" s="10">
        <v>25296</v>
      </c>
    </row>
    <row r="22" spans="1:8" ht="15.75" customHeight="1">
      <c r="A22" s="4"/>
      <c r="B22" s="12" t="s">
        <v>8</v>
      </c>
      <c r="C22" s="13" t="s">
        <v>25</v>
      </c>
      <c r="D22" s="14" t="s">
        <v>27</v>
      </c>
      <c r="E22" s="13">
        <v>34</v>
      </c>
      <c r="F22" s="16"/>
      <c r="G22" s="15"/>
      <c r="H22" s="8"/>
    </row>
    <row r="23" spans="1:8" ht="15.75" customHeight="1">
      <c r="A23" s="4"/>
      <c r="B23" s="12" t="s">
        <v>8</v>
      </c>
      <c r="C23" s="13" t="s">
        <v>25</v>
      </c>
      <c r="D23" s="14" t="s">
        <v>28</v>
      </c>
      <c r="E23" s="13">
        <v>34</v>
      </c>
      <c r="F23" s="17">
        <v>4935754</v>
      </c>
      <c r="G23" s="15">
        <v>987.15</v>
      </c>
      <c r="H23" s="10">
        <v>25296</v>
      </c>
    </row>
    <row r="24" spans="1:8" ht="15.75" customHeight="1">
      <c r="A24" s="4"/>
      <c r="B24" s="12" t="s">
        <v>8</v>
      </c>
      <c r="C24" s="13" t="s">
        <v>29</v>
      </c>
      <c r="D24" s="18" t="s">
        <v>30</v>
      </c>
      <c r="E24" s="6">
        <v>22.24</v>
      </c>
      <c r="F24" s="17">
        <v>2408592</v>
      </c>
      <c r="G24" s="15">
        <v>481.72</v>
      </c>
      <c r="H24" s="10">
        <v>25296</v>
      </c>
    </row>
    <row r="25" spans="1:8" ht="15.75" customHeight="1">
      <c r="A25" s="4"/>
      <c r="B25" s="5" t="s">
        <v>31</v>
      </c>
      <c r="C25" s="6" t="s">
        <v>32</v>
      </c>
      <c r="D25" s="18"/>
      <c r="E25" s="6"/>
      <c r="F25" s="19"/>
      <c r="G25" s="7"/>
      <c r="H25" s="8"/>
    </row>
    <row r="26" spans="1:8" ht="15.75" customHeight="1">
      <c r="A26" s="4"/>
      <c r="B26" s="5" t="s">
        <v>31</v>
      </c>
      <c r="C26" s="6" t="s">
        <v>32</v>
      </c>
      <c r="D26" s="18"/>
      <c r="E26" s="6"/>
      <c r="F26" s="19"/>
      <c r="G26" s="7"/>
      <c r="H26" s="8"/>
    </row>
    <row r="27" spans="1:8" ht="22.8">
      <c r="A27" s="4"/>
      <c r="B27" s="5" t="s">
        <v>31</v>
      </c>
      <c r="C27" s="6" t="s">
        <v>32</v>
      </c>
      <c r="D27" s="18"/>
      <c r="E27" s="6"/>
      <c r="F27" s="19"/>
      <c r="G27" s="7"/>
      <c r="H27" s="8"/>
    </row>
    <row r="28" spans="1:8" ht="22.8">
      <c r="A28" s="4"/>
      <c r="B28" s="5" t="s">
        <v>31</v>
      </c>
      <c r="C28" s="6" t="s">
        <v>33</v>
      </c>
      <c r="D28" s="6" t="s">
        <v>34</v>
      </c>
      <c r="E28" s="6">
        <v>50</v>
      </c>
      <c r="F28" s="9">
        <v>3887295</v>
      </c>
      <c r="G28" s="7">
        <v>777.46</v>
      </c>
      <c r="H28" s="10">
        <v>25296</v>
      </c>
    </row>
    <row r="29" spans="1:8" ht="22.8">
      <c r="A29" s="4"/>
      <c r="B29" s="5" t="s">
        <v>31</v>
      </c>
      <c r="C29" s="6" t="s">
        <v>33</v>
      </c>
      <c r="D29" s="6" t="s">
        <v>35</v>
      </c>
      <c r="E29" s="6">
        <v>80</v>
      </c>
      <c r="F29" s="9">
        <v>6290253</v>
      </c>
      <c r="G29" s="11">
        <v>1258.05</v>
      </c>
      <c r="H29" s="10">
        <v>25296</v>
      </c>
    </row>
    <row r="30" spans="1:8" ht="22.8">
      <c r="A30" s="4"/>
      <c r="B30" s="5" t="s">
        <v>31</v>
      </c>
      <c r="C30" s="6" t="s">
        <v>33</v>
      </c>
      <c r="D30" s="6" t="s">
        <v>36</v>
      </c>
      <c r="E30" s="6">
        <v>50</v>
      </c>
      <c r="F30" s="9">
        <v>4049055</v>
      </c>
      <c r="G30" s="7">
        <v>809.81</v>
      </c>
      <c r="H30" s="10">
        <v>25296</v>
      </c>
    </row>
    <row r="31" spans="1:8" ht="22.8">
      <c r="A31" s="4"/>
      <c r="B31" s="5" t="s">
        <v>31</v>
      </c>
      <c r="C31" s="6" t="s">
        <v>33</v>
      </c>
      <c r="D31" s="6" t="s">
        <v>37</v>
      </c>
      <c r="E31" s="6">
        <v>50</v>
      </c>
      <c r="F31" s="9">
        <v>4049856</v>
      </c>
      <c r="G31" s="7">
        <v>809.07</v>
      </c>
      <c r="H31" s="10"/>
    </row>
    <row r="32" spans="1:8" ht="22.8">
      <c r="A32" s="4"/>
      <c r="B32" s="5" t="s">
        <v>31</v>
      </c>
      <c r="C32" s="6" t="s">
        <v>33</v>
      </c>
      <c r="D32" s="6" t="s">
        <v>38</v>
      </c>
      <c r="E32" s="6">
        <v>80</v>
      </c>
      <c r="F32" s="9">
        <v>6504120</v>
      </c>
      <c r="G32" s="11">
        <v>1300.82</v>
      </c>
      <c r="H32" s="10">
        <v>25296</v>
      </c>
    </row>
    <row r="33" spans="1:8" ht="22.8">
      <c r="A33" s="4"/>
      <c r="B33" s="5" t="s">
        <v>31</v>
      </c>
      <c r="C33" s="6" t="s">
        <v>33</v>
      </c>
      <c r="D33" s="6" t="s">
        <v>39</v>
      </c>
      <c r="E33" s="6">
        <v>50</v>
      </c>
      <c r="F33" s="9">
        <v>4049856</v>
      </c>
      <c r="G33" s="7">
        <v>809.07</v>
      </c>
      <c r="H33" s="8"/>
    </row>
    <row r="34" spans="1:8" ht="22.8">
      <c r="A34" s="4"/>
      <c r="B34" s="5" t="s">
        <v>31</v>
      </c>
      <c r="C34" s="6" t="s">
        <v>33</v>
      </c>
      <c r="D34" s="6" t="s">
        <v>40</v>
      </c>
      <c r="E34" s="6">
        <v>50</v>
      </c>
      <c r="F34" s="9">
        <v>4049856</v>
      </c>
      <c r="G34" s="7">
        <v>809.07</v>
      </c>
      <c r="H34" s="8"/>
    </row>
    <row r="35" spans="1:8" ht="22.8">
      <c r="A35" s="4"/>
      <c r="B35" s="5" t="s">
        <v>31</v>
      </c>
      <c r="C35" s="6" t="s">
        <v>33</v>
      </c>
      <c r="D35" s="6" t="s">
        <v>41</v>
      </c>
      <c r="E35" s="6">
        <v>80</v>
      </c>
      <c r="F35" s="9">
        <v>6528150</v>
      </c>
      <c r="G35" s="11">
        <v>1305.6300000000001</v>
      </c>
      <c r="H35" s="8"/>
    </row>
    <row r="36" spans="1:8" ht="22.8">
      <c r="A36" s="4"/>
      <c r="B36" s="5" t="s">
        <v>42</v>
      </c>
      <c r="C36" s="6" t="s">
        <v>43</v>
      </c>
      <c r="D36" s="6" t="s">
        <v>44</v>
      </c>
      <c r="E36" s="6">
        <v>75</v>
      </c>
      <c r="F36" s="6"/>
      <c r="G36" s="7">
        <v>1294.9100000000001</v>
      </c>
      <c r="H36" s="8"/>
    </row>
    <row r="37" spans="1:8" ht="22.8">
      <c r="A37" s="4"/>
      <c r="B37" s="5" t="s">
        <v>42</v>
      </c>
      <c r="C37" s="6" t="s">
        <v>45</v>
      </c>
      <c r="D37" s="6" t="s">
        <v>46</v>
      </c>
      <c r="E37" s="6">
        <v>46</v>
      </c>
      <c r="F37" s="6"/>
      <c r="G37" s="7"/>
      <c r="H37" s="8"/>
    </row>
    <row r="38" spans="1:8" ht="22.8">
      <c r="A38" s="4"/>
      <c r="B38" s="5" t="s">
        <v>42</v>
      </c>
      <c r="C38" s="6" t="s">
        <v>45</v>
      </c>
      <c r="D38" s="6" t="s">
        <v>47</v>
      </c>
      <c r="E38" s="6">
        <v>46</v>
      </c>
      <c r="F38" s="6"/>
      <c r="G38" s="7"/>
      <c r="H38" s="8"/>
    </row>
    <row r="39" spans="1:8" ht="22.8">
      <c r="A39" s="20"/>
      <c r="B39" s="21"/>
      <c r="C39" s="22"/>
      <c r="D39" s="22"/>
      <c r="E39" s="22"/>
      <c r="F39" s="24">
        <v>61072799</v>
      </c>
      <c r="G39" s="24">
        <f>SUM(G3:G38)</f>
        <v>19972.740000000002</v>
      </c>
      <c r="H39" s="8"/>
    </row>
    <row r="40" spans="1:8" ht="13.8">
      <c r="A40" s="25"/>
      <c r="B40" s="25"/>
      <c r="C40" s="25"/>
      <c r="D40" s="25"/>
      <c r="E40" s="25"/>
    </row>
    <row r="41" spans="1:8" ht="13.8">
      <c r="A41" s="25"/>
      <c r="B41" s="25"/>
      <c r="C41" s="25"/>
      <c r="D41" s="25"/>
      <c r="E41" s="25"/>
    </row>
    <row r="42" spans="1:8" ht="13.8">
      <c r="A42" s="25"/>
      <c r="B42" s="25"/>
      <c r="C42" s="25"/>
      <c r="D42" s="25"/>
      <c r="E42" s="25"/>
    </row>
  </sheetData>
  <mergeCells count="2">
    <mergeCell ref="F2:H2"/>
    <mergeCell ref="B1:E1"/>
  </mergeCells>
  <printOptions horizontalCentered="1" gridLines="1"/>
  <pageMargins left="0.25" right="0.25" top="0.75" bottom="0.75" header="0" footer="0"/>
  <pageSetup paperSize="9" pageOrder="overThenDown" orientation="portrait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Q38"/>
  <sheetViews>
    <sheetView workbookViewId="0"/>
  </sheetViews>
  <sheetFormatPr defaultColWidth="12.6640625" defaultRowHeight="15.75" customHeight="1"/>
  <cols>
    <col min="3" max="3" width="20" customWidth="1"/>
    <col min="4" max="4" width="10" customWidth="1"/>
    <col min="5" max="5" width="13.44140625" customWidth="1"/>
    <col min="7" max="7" width="19.6640625" hidden="1" customWidth="1"/>
    <col min="8" max="8" width="14.44140625" hidden="1" customWidth="1"/>
    <col min="9" max="9" width="19.77734375" hidden="1" customWidth="1"/>
    <col min="10" max="10" width="14.44140625" hidden="1" customWidth="1"/>
    <col min="11" max="11" width="18.21875" hidden="1" customWidth="1"/>
    <col min="12" max="12" width="14.44140625" hidden="1" customWidth="1"/>
    <col min="13" max="13" width="19.77734375" customWidth="1"/>
    <col min="14" max="14" width="14.44140625" customWidth="1"/>
    <col min="15" max="15" width="19.77734375" customWidth="1"/>
  </cols>
  <sheetData>
    <row r="1" spans="1:17" ht="34.799999999999997">
      <c r="A1" s="25"/>
      <c r="B1" s="32" t="s">
        <v>48</v>
      </c>
      <c r="C1" s="33"/>
      <c r="D1" s="33"/>
      <c r="E1" s="33"/>
      <c r="F1" s="33"/>
      <c r="G1" s="33"/>
      <c r="H1" s="33"/>
      <c r="I1" s="33"/>
      <c r="J1" s="33"/>
      <c r="K1" s="33"/>
      <c r="L1" s="33"/>
    </row>
    <row r="2" spans="1:17" ht="34.799999999999997">
      <c r="A2" s="25"/>
      <c r="B2" s="2"/>
      <c r="C2" s="3"/>
      <c r="D2" s="3"/>
      <c r="E2" s="3"/>
      <c r="F2" s="3"/>
      <c r="G2" s="34">
        <v>2565</v>
      </c>
      <c r="H2" s="35"/>
      <c r="I2" s="34">
        <v>2566</v>
      </c>
      <c r="J2" s="35"/>
      <c r="K2" s="34">
        <v>2567</v>
      </c>
      <c r="L2" s="35"/>
      <c r="M2" s="34">
        <v>2568</v>
      </c>
      <c r="N2" s="35"/>
      <c r="O2" s="34">
        <v>2569</v>
      </c>
      <c r="P2" s="36"/>
      <c r="Q2" s="35"/>
    </row>
    <row r="3" spans="1:17" ht="22.8">
      <c r="A3" s="25"/>
      <c r="B3" s="5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7" t="s">
        <v>7</v>
      </c>
      <c r="I3" s="6" t="s">
        <v>6</v>
      </c>
      <c r="J3" s="7" t="s">
        <v>7</v>
      </c>
      <c r="K3" s="6" t="s">
        <v>6</v>
      </c>
      <c r="L3" s="7" t="s">
        <v>7</v>
      </c>
      <c r="M3" s="6" t="s">
        <v>6</v>
      </c>
      <c r="N3" s="7" t="s">
        <v>7</v>
      </c>
      <c r="O3" s="6" t="s">
        <v>6</v>
      </c>
      <c r="P3" s="7" t="s">
        <v>7</v>
      </c>
      <c r="Q3" s="8" t="s">
        <v>49</v>
      </c>
    </row>
    <row r="4" spans="1:17" ht="22.8">
      <c r="A4" s="26">
        <v>1</v>
      </c>
      <c r="B4" s="5" t="s">
        <v>8</v>
      </c>
      <c r="C4" s="6" t="s">
        <v>50</v>
      </c>
      <c r="D4" s="6"/>
      <c r="E4" s="6"/>
      <c r="F4" s="6"/>
      <c r="G4" s="6"/>
      <c r="H4" s="7"/>
      <c r="I4" s="6"/>
      <c r="J4" s="7"/>
      <c r="K4" s="6"/>
      <c r="L4" s="7"/>
      <c r="M4" s="6"/>
      <c r="N4" s="7"/>
      <c r="O4" s="6"/>
      <c r="P4" s="7"/>
      <c r="Q4" s="8"/>
    </row>
    <row r="5" spans="1:17" ht="22.8">
      <c r="A5" s="26">
        <v>2</v>
      </c>
      <c r="B5" s="5" t="s">
        <v>8</v>
      </c>
      <c r="C5" s="6" t="s">
        <v>51</v>
      </c>
      <c r="D5" s="6">
        <v>4465</v>
      </c>
      <c r="E5" s="6" t="s">
        <v>52</v>
      </c>
      <c r="F5" s="6"/>
      <c r="G5" s="9">
        <v>4386000</v>
      </c>
      <c r="H5" s="11">
        <v>13158</v>
      </c>
      <c r="I5" s="9">
        <v>4386000</v>
      </c>
      <c r="J5" s="11">
        <v>13158</v>
      </c>
      <c r="K5" s="9">
        <v>4386000</v>
      </c>
      <c r="L5" s="11">
        <v>13158</v>
      </c>
      <c r="M5" s="9">
        <v>4386000</v>
      </c>
      <c r="N5" s="11">
        <v>13158</v>
      </c>
      <c r="O5" s="9">
        <v>4386000</v>
      </c>
      <c r="P5" s="11">
        <v>13158</v>
      </c>
      <c r="Q5" s="27">
        <v>244438</v>
      </c>
    </row>
    <row r="6" spans="1:17" ht="22.8">
      <c r="A6" s="25"/>
      <c r="B6" s="5" t="s">
        <v>8</v>
      </c>
      <c r="C6" s="6" t="s">
        <v>51</v>
      </c>
      <c r="D6" s="6">
        <v>4472</v>
      </c>
      <c r="E6" s="6" t="s">
        <v>53</v>
      </c>
      <c r="F6" s="6"/>
      <c r="G6" s="9">
        <v>4318000</v>
      </c>
      <c r="H6" s="11">
        <v>12954</v>
      </c>
      <c r="I6" s="9">
        <v>4318000</v>
      </c>
      <c r="J6" s="11">
        <v>12954</v>
      </c>
      <c r="K6" s="9">
        <v>4318000</v>
      </c>
      <c r="L6" s="11">
        <v>12954</v>
      </c>
      <c r="M6" s="9">
        <v>4318000</v>
      </c>
      <c r="N6" s="11">
        <v>12954</v>
      </c>
      <c r="O6" s="9">
        <v>4318000</v>
      </c>
      <c r="P6" s="11">
        <v>12954</v>
      </c>
      <c r="Q6" s="27">
        <v>244438</v>
      </c>
    </row>
    <row r="7" spans="1:17" ht="22.8">
      <c r="A7" s="25"/>
      <c r="B7" s="5" t="s">
        <v>8</v>
      </c>
      <c r="C7" s="6" t="s">
        <v>51</v>
      </c>
      <c r="D7" s="6">
        <v>140739</v>
      </c>
      <c r="E7" s="6" t="s">
        <v>54</v>
      </c>
      <c r="F7" s="6"/>
      <c r="G7" s="9">
        <v>3008000</v>
      </c>
      <c r="H7" s="11">
        <v>9024</v>
      </c>
      <c r="I7" s="9">
        <v>3760000</v>
      </c>
      <c r="J7" s="11">
        <v>11280</v>
      </c>
      <c r="K7" s="9">
        <v>3760000</v>
      </c>
      <c r="L7" s="11">
        <v>11280</v>
      </c>
      <c r="M7" s="9">
        <v>3760000</v>
      </c>
      <c r="N7" s="11">
        <v>11280</v>
      </c>
      <c r="O7" s="9">
        <v>3760000</v>
      </c>
      <c r="P7" s="11">
        <v>11280</v>
      </c>
      <c r="Q7" s="27">
        <v>244438</v>
      </c>
    </row>
    <row r="8" spans="1:17" ht="22.8">
      <c r="A8" s="25"/>
      <c r="B8" s="5" t="s">
        <v>8</v>
      </c>
      <c r="C8" s="6" t="s">
        <v>51</v>
      </c>
      <c r="D8" s="6">
        <v>140740</v>
      </c>
      <c r="E8" s="6" t="s">
        <v>55</v>
      </c>
      <c r="F8" s="6"/>
      <c r="G8" s="9">
        <v>731000</v>
      </c>
      <c r="H8" s="11">
        <v>2193</v>
      </c>
      <c r="I8" s="9">
        <v>731000</v>
      </c>
      <c r="J8" s="11">
        <v>2193</v>
      </c>
      <c r="K8" s="9">
        <v>731000</v>
      </c>
      <c r="L8" s="11">
        <v>2193</v>
      </c>
      <c r="M8" s="9">
        <v>731000</v>
      </c>
      <c r="N8" s="11">
        <v>2193</v>
      </c>
      <c r="O8" s="9">
        <v>731000</v>
      </c>
      <c r="P8" s="11">
        <v>2193</v>
      </c>
      <c r="Q8" s="27">
        <v>244438</v>
      </c>
    </row>
    <row r="9" spans="1:17" ht="22.8">
      <c r="A9" s="25"/>
      <c r="B9" s="5" t="s">
        <v>8</v>
      </c>
      <c r="C9" s="6" t="s">
        <v>51</v>
      </c>
      <c r="D9" s="6">
        <v>140741</v>
      </c>
      <c r="E9" s="6" t="s">
        <v>55</v>
      </c>
      <c r="F9" s="6"/>
      <c r="G9" s="9">
        <v>731000</v>
      </c>
      <c r="H9" s="11">
        <v>2193</v>
      </c>
      <c r="I9" s="9">
        <v>731000</v>
      </c>
      <c r="J9" s="11">
        <v>2193</v>
      </c>
      <c r="K9" s="9">
        <v>731000</v>
      </c>
      <c r="L9" s="11">
        <v>2193</v>
      </c>
      <c r="M9" s="9">
        <v>731000</v>
      </c>
      <c r="N9" s="11">
        <v>2193</v>
      </c>
      <c r="O9" s="9">
        <v>731000</v>
      </c>
      <c r="P9" s="11">
        <v>2193</v>
      </c>
      <c r="Q9" s="27">
        <v>244438</v>
      </c>
    </row>
    <row r="10" spans="1:17" ht="22.8">
      <c r="A10" s="25"/>
      <c r="B10" s="5" t="s">
        <v>8</v>
      </c>
      <c r="C10" s="6" t="s">
        <v>51</v>
      </c>
      <c r="D10" s="6">
        <v>140742</v>
      </c>
      <c r="E10" s="6" t="s">
        <v>55</v>
      </c>
      <c r="F10" s="6"/>
      <c r="G10" s="9">
        <v>731000</v>
      </c>
      <c r="H10" s="11">
        <v>2193</v>
      </c>
      <c r="I10" s="9">
        <v>731000</v>
      </c>
      <c r="J10" s="11">
        <v>2193</v>
      </c>
      <c r="K10" s="9">
        <v>731000</v>
      </c>
      <c r="L10" s="11">
        <v>2193</v>
      </c>
      <c r="M10" s="9">
        <v>731000</v>
      </c>
      <c r="N10" s="11">
        <v>2193</v>
      </c>
      <c r="O10" s="9">
        <v>731000</v>
      </c>
      <c r="P10" s="11">
        <v>2193</v>
      </c>
      <c r="Q10" s="27">
        <v>244438</v>
      </c>
    </row>
    <row r="11" spans="1:17" ht="22.8">
      <c r="A11" s="25"/>
      <c r="B11" s="5" t="s">
        <v>8</v>
      </c>
      <c r="C11" s="6" t="s">
        <v>51</v>
      </c>
      <c r="D11" s="6">
        <v>140743</v>
      </c>
      <c r="E11" s="6" t="s">
        <v>56</v>
      </c>
      <c r="F11" s="6"/>
      <c r="G11" s="9">
        <v>748000</v>
      </c>
      <c r="H11" s="11">
        <v>2244</v>
      </c>
      <c r="I11" s="9">
        <v>748000</v>
      </c>
      <c r="J11" s="11">
        <v>2244</v>
      </c>
      <c r="K11" s="9">
        <v>748000</v>
      </c>
      <c r="L11" s="11">
        <v>2244</v>
      </c>
      <c r="M11" s="9">
        <v>748000</v>
      </c>
      <c r="N11" s="11">
        <v>2244</v>
      </c>
      <c r="O11" s="9">
        <v>748000</v>
      </c>
      <c r="P11" s="11">
        <v>2244</v>
      </c>
      <c r="Q11" s="27">
        <v>244438</v>
      </c>
    </row>
    <row r="12" spans="1:17" ht="22.8">
      <c r="A12" s="25"/>
      <c r="B12" s="5" t="s">
        <v>8</v>
      </c>
      <c r="C12" s="6" t="s">
        <v>51</v>
      </c>
      <c r="D12" s="6">
        <v>140744</v>
      </c>
      <c r="E12" s="6" t="s">
        <v>56</v>
      </c>
      <c r="F12" s="6"/>
      <c r="G12" s="9">
        <v>748000</v>
      </c>
      <c r="H12" s="11">
        <v>2244</v>
      </c>
      <c r="I12" s="9">
        <v>748000</v>
      </c>
      <c r="J12" s="11">
        <v>2244</v>
      </c>
      <c r="K12" s="9">
        <v>748000</v>
      </c>
      <c r="L12" s="11">
        <v>2244</v>
      </c>
      <c r="M12" s="9">
        <v>748000</v>
      </c>
      <c r="N12" s="11">
        <v>2244</v>
      </c>
      <c r="O12" s="9">
        <v>748000</v>
      </c>
      <c r="P12" s="11">
        <v>2244</v>
      </c>
      <c r="Q12" s="27">
        <v>244438</v>
      </c>
    </row>
    <row r="13" spans="1:17" ht="22.8">
      <c r="A13" s="25"/>
      <c r="B13" s="5" t="s">
        <v>8</v>
      </c>
      <c r="C13" s="6" t="s">
        <v>51</v>
      </c>
      <c r="D13" s="6">
        <v>101941</v>
      </c>
      <c r="E13" s="6" t="s">
        <v>57</v>
      </c>
      <c r="F13" s="6"/>
      <c r="G13" s="9">
        <v>12736000</v>
      </c>
      <c r="H13" s="11">
        <v>38208</v>
      </c>
      <c r="I13" s="9">
        <v>13930000</v>
      </c>
      <c r="J13" s="11">
        <v>41790</v>
      </c>
      <c r="K13" s="9">
        <v>13930000</v>
      </c>
      <c r="L13" s="11">
        <v>41790</v>
      </c>
      <c r="M13" s="9">
        <v>13930000</v>
      </c>
      <c r="N13" s="11">
        <v>41790</v>
      </c>
      <c r="O13" s="9">
        <v>13930000</v>
      </c>
      <c r="P13" s="11">
        <v>41790</v>
      </c>
      <c r="Q13" s="27">
        <v>244438</v>
      </c>
    </row>
    <row r="14" spans="1:17" ht="22.8">
      <c r="A14" s="25"/>
      <c r="B14" s="5" t="s">
        <v>8</v>
      </c>
      <c r="C14" s="6" t="s">
        <v>58</v>
      </c>
      <c r="D14" s="6">
        <v>75858</v>
      </c>
      <c r="E14" s="6" t="s">
        <v>59</v>
      </c>
      <c r="F14" s="6"/>
      <c r="G14" s="9">
        <v>8000000</v>
      </c>
      <c r="H14" s="11">
        <v>24000</v>
      </c>
      <c r="I14" s="9">
        <v>8000000</v>
      </c>
      <c r="J14" s="11">
        <v>48000</v>
      </c>
      <c r="K14" s="9">
        <v>8000000</v>
      </c>
      <c r="L14" s="11">
        <v>0</v>
      </c>
      <c r="M14" s="9">
        <v>8000000</v>
      </c>
      <c r="N14" s="11">
        <v>0</v>
      </c>
      <c r="O14" s="9">
        <v>8000000</v>
      </c>
      <c r="P14" s="11">
        <v>0</v>
      </c>
      <c r="Q14" s="27">
        <v>244438</v>
      </c>
    </row>
    <row r="15" spans="1:17" ht="22.8">
      <c r="A15" s="26">
        <v>3</v>
      </c>
      <c r="B15" s="5" t="s">
        <v>8</v>
      </c>
      <c r="C15" s="6" t="s">
        <v>60</v>
      </c>
      <c r="D15" s="6">
        <v>25168</v>
      </c>
      <c r="E15" s="28">
        <v>36192</v>
      </c>
      <c r="F15" s="6"/>
      <c r="G15" s="9">
        <v>24486000</v>
      </c>
      <c r="H15" s="11">
        <v>73458</v>
      </c>
      <c r="I15" s="9">
        <v>24486000</v>
      </c>
      <c r="J15" s="11">
        <v>124878.6</v>
      </c>
      <c r="K15" s="9">
        <v>24486000</v>
      </c>
      <c r="L15" s="11">
        <v>146916</v>
      </c>
      <c r="M15" s="9"/>
      <c r="N15" s="11"/>
      <c r="O15" s="9"/>
      <c r="P15" s="11"/>
      <c r="Q15" s="8"/>
    </row>
    <row r="16" spans="1:17" ht="22.8">
      <c r="A16" s="26">
        <v>4</v>
      </c>
      <c r="B16" s="5" t="s">
        <v>8</v>
      </c>
      <c r="C16" s="6" t="s">
        <v>61</v>
      </c>
      <c r="D16" s="6">
        <v>1328</v>
      </c>
      <c r="E16" s="28">
        <v>30747</v>
      </c>
      <c r="F16" s="6"/>
      <c r="G16" s="9">
        <v>34807500</v>
      </c>
      <c r="H16" s="11">
        <v>104422.5</v>
      </c>
      <c r="I16" s="9">
        <v>61261200</v>
      </c>
      <c r="J16" s="11">
        <v>378828</v>
      </c>
      <c r="K16" s="9">
        <v>34861200</v>
      </c>
      <c r="L16" s="11">
        <v>0</v>
      </c>
      <c r="M16" s="9">
        <v>34861200</v>
      </c>
      <c r="N16" s="11">
        <v>0</v>
      </c>
      <c r="O16" s="9">
        <v>34861200</v>
      </c>
      <c r="P16" s="11">
        <v>0</v>
      </c>
      <c r="Q16" s="27">
        <v>244438</v>
      </c>
    </row>
    <row r="17" spans="1:17" ht="22.8">
      <c r="A17" s="25"/>
      <c r="B17" s="5" t="s">
        <v>8</v>
      </c>
      <c r="C17" s="6"/>
      <c r="D17" s="6"/>
      <c r="E17" s="6"/>
      <c r="F17" s="6"/>
      <c r="G17" s="9"/>
      <c r="H17" s="11"/>
      <c r="I17" s="9"/>
      <c r="J17" s="11"/>
      <c r="K17" s="9">
        <v>26400000</v>
      </c>
      <c r="L17" s="11">
        <v>79200</v>
      </c>
      <c r="M17" s="9">
        <v>26400000</v>
      </c>
      <c r="N17" s="11">
        <v>79200</v>
      </c>
      <c r="O17" s="9">
        <v>26400000</v>
      </c>
      <c r="P17" s="11">
        <v>79200</v>
      </c>
      <c r="Q17" s="27">
        <v>244438</v>
      </c>
    </row>
    <row r="18" spans="1:17" ht="29.25" customHeight="1">
      <c r="A18" s="25"/>
      <c r="B18" s="5" t="s">
        <v>8</v>
      </c>
      <c r="C18" s="6" t="s">
        <v>62</v>
      </c>
      <c r="D18" s="6">
        <v>47464</v>
      </c>
      <c r="E18" s="6" t="s">
        <v>63</v>
      </c>
      <c r="F18" s="6"/>
      <c r="G18" s="9">
        <v>8200000</v>
      </c>
      <c r="H18" s="11">
        <v>24600</v>
      </c>
      <c r="I18" s="9">
        <v>8200000</v>
      </c>
      <c r="J18" s="11">
        <v>49200</v>
      </c>
      <c r="K18" s="9">
        <v>8200000</v>
      </c>
      <c r="L18" s="11">
        <v>0</v>
      </c>
      <c r="M18" s="9"/>
      <c r="N18" s="11"/>
      <c r="O18" s="9"/>
      <c r="P18" s="11"/>
      <c r="Q18" s="8"/>
    </row>
    <row r="19" spans="1:17" ht="22.8">
      <c r="A19" s="26">
        <v>11</v>
      </c>
      <c r="B19" s="5" t="s">
        <v>31</v>
      </c>
      <c r="C19" s="6" t="s">
        <v>64</v>
      </c>
      <c r="D19" s="6" t="s">
        <v>65</v>
      </c>
      <c r="E19" s="29">
        <v>36607</v>
      </c>
      <c r="F19" s="6"/>
      <c r="G19" s="9">
        <v>11326000</v>
      </c>
      <c r="H19" s="11">
        <v>3397.8</v>
      </c>
      <c r="I19" s="19"/>
      <c r="J19" s="7"/>
      <c r="K19" s="9"/>
      <c r="L19" s="11"/>
      <c r="M19" s="9"/>
      <c r="N19" s="11"/>
      <c r="O19" s="9"/>
      <c r="P19" s="11"/>
      <c r="Q19" s="8"/>
    </row>
    <row r="20" spans="1:17" ht="22.8">
      <c r="A20" s="26">
        <v>12</v>
      </c>
      <c r="B20" s="5" t="s">
        <v>31</v>
      </c>
      <c r="C20" s="6" t="s">
        <v>66</v>
      </c>
      <c r="D20" s="18">
        <v>78756</v>
      </c>
      <c r="E20" s="30">
        <v>36568</v>
      </c>
      <c r="F20" s="6"/>
      <c r="G20" s="6"/>
      <c r="H20" s="7"/>
      <c r="I20" s="19"/>
      <c r="J20" s="7"/>
      <c r="K20" s="9"/>
      <c r="L20" s="11"/>
      <c r="M20" s="9">
        <v>2891180</v>
      </c>
      <c r="N20" s="11">
        <v>578.24</v>
      </c>
      <c r="O20" s="9">
        <v>2891180</v>
      </c>
      <c r="P20" s="11">
        <v>578.24</v>
      </c>
      <c r="Q20" s="8"/>
    </row>
    <row r="21" spans="1:17" ht="22.8">
      <c r="A21" s="26">
        <v>13</v>
      </c>
      <c r="B21" s="5" t="s">
        <v>31</v>
      </c>
      <c r="C21" s="6" t="s">
        <v>67</v>
      </c>
      <c r="D21" s="18">
        <v>50877</v>
      </c>
      <c r="E21" s="31">
        <v>15713</v>
      </c>
      <c r="F21" s="6"/>
      <c r="G21" s="6"/>
      <c r="H21" s="7"/>
      <c r="I21" s="9">
        <v>1677510</v>
      </c>
      <c r="J21" s="11">
        <v>5032.53</v>
      </c>
      <c r="K21" s="9">
        <v>1677510</v>
      </c>
      <c r="L21" s="11">
        <v>0</v>
      </c>
      <c r="M21" s="9">
        <v>1677510</v>
      </c>
      <c r="N21" s="11">
        <v>0</v>
      </c>
      <c r="O21" s="9">
        <v>1677510</v>
      </c>
      <c r="P21" s="11">
        <v>0</v>
      </c>
      <c r="Q21" s="8"/>
    </row>
    <row r="22" spans="1:17" ht="22.8">
      <c r="A22" s="25"/>
      <c r="B22" s="5" t="s">
        <v>31</v>
      </c>
      <c r="C22" s="6" t="s">
        <v>67</v>
      </c>
      <c r="D22" s="18">
        <v>52850</v>
      </c>
      <c r="E22" s="31">
        <v>30717</v>
      </c>
      <c r="F22" s="6"/>
      <c r="G22" s="6"/>
      <c r="H22" s="7"/>
      <c r="I22" s="9">
        <v>571000</v>
      </c>
      <c r="J22" s="11">
        <v>1713</v>
      </c>
      <c r="K22" s="9">
        <v>571000</v>
      </c>
      <c r="L22" s="11">
        <v>0</v>
      </c>
      <c r="M22" s="9">
        <v>571000</v>
      </c>
      <c r="N22" s="11">
        <v>0</v>
      </c>
      <c r="O22" s="9">
        <v>571000</v>
      </c>
      <c r="P22" s="11">
        <v>0</v>
      </c>
      <c r="Q22" s="8"/>
    </row>
    <row r="23" spans="1:17" ht="22.8">
      <c r="A23" s="25"/>
      <c r="B23" s="5" t="s">
        <v>31</v>
      </c>
      <c r="C23" s="6" t="s">
        <v>67</v>
      </c>
      <c r="D23" s="18">
        <v>52851</v>
      </c>
      <c r="E23" s="18" t="s">
        <v>68</v>
      </c>
      <c r="F23" s="6"/>
      <c r="G23" s="6"/>
      <c r="H23" s="7"/>
      <c r="I23" s="9">
        <v>1963430</v>
      </c>
      <c r="J23" s="11">
        <v>5890.2</v>
      </c>
      <c r="K23" s="9">
        <v>1963430</v>
      </c>
      <c r="L23" s="11">
        <v>0</v>
      </c>
      <c r="M23" s="9">
        <v>1963430</v>
      </c>
      <c r="N23" s="11">
        <v>0</v>
      </c>
      <c r="O23" s="9">
        <v>1963430</v>
      </c>
      <c r="P23" s="11">
        <v>0</v>
      </c>
      <c r="Q23" s="8"/>
    </row>
    <row r="24" spans="1:17" ht="22.8">
      <c r="A24" s="25"/>
      <c r="B24" s="5" t="s">
        <v>31</v>
      </c>
      <c r="C24" s="6" t="s">
        <v>67</v>
      </c>
      <c r="D24" s="18">
        <v>53021</v>
      </c>
      <c r="E24" s="31">
        <v>17904</v>
      </c>
      <c r="F24" s="6"/>
      <c r="G24" s="6"/>
      <c r="H24" s="7"/>
      <c r="I24" s="9">
        <v>1452930</v>
      </c>
      <c r="J24" s="11">
        <v>4358.79</v>
      </c>
      <c r="K24" s="9">
        <v>1452930</v>
      </c>
      <c r="L24" s="11">
        <v>0</v>
      </c>
      <c r="M24" s="9">
        <v>1452930</v>
      </c>
      <c r="N24" s="11">
        <v>0</v>
      </c>
      <c r="O24" s="9">
        <v>1452930</v>
      </c>
      <c r="P24" s="11">
        <v>0</v>
      </c>
      <c r="Q24" s="8"/>
    </row>
    <row r="25" spans="1:17" ht="22.8">
      <c r="A25" s="25"/>
      <c r="B25" s="5" t="s">
        <v>31</v>
      </c>
      <c r="C25" s="6" t="s">
        <v>67</v>
      </c>
      <c r="D25" s="18">
        <v>53022</v>
      </c>
      <c r="E25" s="18" t="s">
        <v>69</v>
      </c>
      <c r="F25" s="6"/>
      <c r="G25" s="6"/>
      <c r="H25" s="7"/>
      <c r="I25" s="9">
        <v>276900</v>
      </c>
      <c r="J25" s="7">
        <v>830.7</v>
      </c>
      <c r="K25" s="9">
        <v>276900</v>
      </c>
      <c r="L25" s="11">
        <v>0</v>
      </c>
      <c r="M25" s="9">
        <v>276900</v>
      </c>
      <c r="N25" s="11">
        <v>0</v>
      </c>
      <c r="O25" s="9">
        <v>276900</v>
      </c>
      <c r="P25" s="11">
        <v>0</v>
      </c>
      <c r="Q25" s="8"/>
    </row>
    <row r="26" spans="1:17" ht="22.8">
      <c r="A26" s="25"/>
      <c r="B26" s="5" t="s">
        <v>31</v>
      </c>
      <c r="C26" s="6" t="s">
        <v>67</v>
      </c>
      <c r="D26" s="18">
        <v>99298</v>
      </c>
      <c r="E26" s="31">
        <v>43526</v>
      </c>
      <c r="F26" s="6"/>
      <c r="G26" s="6"/>
      <c r="H26" s="7"/>
      <c r="I26" s="9">
        <v>637830</v>
      </c>
      <c r="J26" s="11">
        <v>1913.49</v>
      </c>
      <c r="K26" s="9">
        <v>637830</v>
      </c>
      <c r="L26" s="11">
        <v>0</v>
      </c>
      <c r="M26" s="9">
        <v>637830</v>
      </c>
      <c r="N26" s="11">
        <v>0</v>
      </c>
      <c r="O26" s="9">
        <v>637830</v>
      </c>
      <c r="P26" s="11">
        <v>0</v>
      </c>
      <c r="Q26" s="8"/>
    </row>
    <row r="27" spans="1:17" ht="22.8">
      <c r="A27" s="25"/>
      <c r="B27" s="5" t="s">
        <v>31</v>
      </c>
      <c r="C27" s="6" t="s">
        <v>70</v>
      </c>
      <c r="D27" s="18">
        <v>50965</v>
      </c>
      <c r="E27" s="31">
        <v>46082</v>
      </c>
      <c r="F27" s="6"/>
      <c r="G27" s="6"/>
      <c r="H27" s="7"/>
      <c r="I27" s="9">
        <v>181500</v>
      </c>
      <c r="J27" s="7" t="s">
        <v>71</v>
      </c>
      <c r="K27" s="9">
        <v>181500</v>
      </c>
      <c r="L27" s="11">
        <v>0</v>
      </c>
      <c r="M27" s="9">
        <v>181500</v>
      </c>
      <c r="N27" s="11">
        <v>0</v>
      </c>
      <c r="O27" s="9">
        <v>181500</v>
      </c>
      <c r="P27" s="11">
        <v>0</v>
      </c>
      <c r="Q27" s="8"/>
    </row>
    <row r="28" spans="1:17" ht="22.8">
      <c r="A28" s="25"/>
      <c r="B28" s="5" t="s">
        <v>31</v>
      </c>
      <c r="C28" s="6" t="s">
        <v>70</v>
      </c>
      <c r="D28" s="18">
        <v>58976</v>
      </c>
      <c r="E28" s="18" t="s">
        <v>72</v>
      </c>
      <c r="F28" s="6"/>
      <c r="G28" s="6"/>
      <c r="H28" s="7"/>
      <c r="I28" s="9">
        <v>1056000</v>
      </c>
      <c r="J28" s="7" t="s">
        <v>71</v>
      </c>
      <c r="K28" s="9">
        <v>1056000</v>
      </c>
      <c r="L28" s="11">
        <v>0</v>
      </c>
      <c r="M28" s="9">
        <v>1056000</v>
      </c>
      <c r="N28" s="11">
        <v>0</v>
      </c>
      <c r="O28" s="9">
        <v>1056000</v>
      </c>
      <c r="P28" s="11">
        <v>0</v>
      </c>
      <c r="Q28" s="8"/>
    </row>
    <row r="29" spans="1:17" ht="22.8">
      <c r="A29" s="25"/>
      <c r="B29" s="5" t="s">
        <v>31</v>
      </c>
      <c r="C29" s="6" t="s">
        <v>70</v>
      </c>
      <c r="D29" s="18">
        <v>58980</v>
      </c>
      <c r="E29" s="30">
        <v>36601</v>
      </c>
      <c r="F29" s="6"/>
      <c r="G29" s="6"/>
      <c r="H29" s="7"/>
      <c r="I29" s="9">
        <v>79000</v>
      </c>
      <c r="J29" s="7" t="s">
        <v>71</v>
      </c>
      <c r="K29" s="9">
        <v>79000</v>
      </c>
      <c r="L29" s="11">
        <v>0</v>
      </c>
      <c r="M29" s="9">
        <v>79000</v>
      </c>
      <c r="N29" s="11">
        <v>0</v>
      </c>
      <c r="O29" s="9">
        <v>79000</v>
      </c>
      <c r="P29" s="11">
        <v>0</v>
      </c>
      <c r="Q29" s="8"/>
    </row>
    <row r="30" spans="1:17" ht="22.8">
      <c r="A30" s="25"/>
      <c r="B30" s="5" t="s">
        <v>31</v>
      </c>
      <c r="C30" s="6" t="s">
        <v>70</v>
      </c>
      <c r="D30" s="18">
        <v>58979</v>
      </c>
      <c r="E30" s="18" t="s">
        <v>73</v>
      </c>
      <c r="F30" s="6"/>
      <c r="G30" s="6"/>
      <c r="H30" s="7"/>
      <c r="I30" s="9">
        <v>1587960</v>
      </c>
      <c r="J30" s="7" t="s">
        <v>71</v>
      </c>
      <c r="K30" s="9">
        <v>1587960</v>
      </c>
      <c r="L30" s="11">
        <v>0</v>
      </c>
      <c r="M30" s="9">
        <v>1587960</v>
      </c>
      <c r="N30" s="11">
        <v>0</v>
      </c>
      <c r="O30" s="9">
        <v>1587960</v>
      </c>
      <c r="P30" s="11">
        <v>0</v>
      </c>
      <c r="Q30" s="8"/>
    </row>
    <row r="31" spans="1:17" ht="22.8">
      <c r="A31" s="25"/>
      <c r="B31" s="5" t="s">
        <v>31</v>
      </c>
      <c r="C31" s="6" t="s">
        <v>70</v>
      </c>
      <c r="D31" s="18">
        <v>75590</v>
      </c>
      <c r="E31" s="31">
        <v>42770</v>
      </c>
      <c r="F31" s="6"/>
      <c r="G31" s="6"/>
      <c r="H31" s="7"/>
      <c r="I31" s="9">
        <v>908500</v>
      </c>
      <c r="J31" s="11">
        <v>2725.5</v>
      </c>
      <c r="K31" s="9">
        <v>908500</v>
      </c>
      <c r="L31" s="11">
        <v>0</v>
      </c>
      <c r="M31" s="9">
        <v>908500</v>
      </c>
      <c r="N31" s="11">
        <v>0</v>
      </c>
      <c r="O31" s="9">
        <v>908500</v>
      </c>
      <c r="P31" s="11">
        <v>0</v>
      </c>
      <c r="Q31" s="8"/>
    </row>
    <row r="32" spans="1:17" ht="22.8">
      <c r="A32" s="25"/>
      <c r="B32" s="5" t="s">
        <v>31</v>
      </c>
      <c r="C32" s="6" t="s">
        <v>74</v>
      </c>
      <c r="D32" s="18">
        <v>74885</v>
      </c>
      <c r="E32" s="18" t="s">
        <v>75</v>
      </c>
      <c r="F32" s="6"/>
      <c r="G32" s="6"/>
      <c r="H32" s="7"/>
      <c r="I32" s="9">
        <v>5504400</v>
      </c>
      <c r="J32" s="7" t="s">
        <v>71</v>
      </c>
      <c r="K32" s="9">
        <v>5504400</v>
      </c>
      <c r="L32" s="11">
        <v>0</v>
      </c>
      <c r="M32" s="9">
        <v>5504400</v>
      </c>
      <c r="N32" s="11">
        <v>0</v>
      </c>
      <c r="O32" s="9">
        <v>5504400</v>
      </c>
      <c r="P32" s="11">
        <v>0</v>
      </c>
      <c r="Q32" s="8"/>
    </row>
    <row r="33" spans="1:17" ht="22.8">
      <c r="A33" s="26">
        <v>14</v>
      </c>
      <c r="B33" s="5" t="s">
        <v>31</v>
      </c>
      <c r="C33" s="6" t="s">
        <v>76</v>
      </c>
      <c r="D33" s="18">
        <v>97744</v>
      </c>
      <c r="E33" s="18" t="s">
        <v>77</v>
      </c>
      <c r="F33" s="6"/>
      <c r="G33" s="6"/>
      <c r="H33" s="7"/>
      <c r="I33" s="9">
        <v>1500000</v>
      </c>
      <c r="J33" s="7" t="s">
        <v>71</v>
      </c>
      <c r="K33" s="9">
        <v>1500000</v>
      </c>
      <c r="L33" s="11">
        <v>4500</v>
      </c>
      <c r="M33" s="9">
        <v>1500000</v>
      </c>
      <c r="N33" s="11">
        <v>4500</v>
      </c>
      <c r="O33" s="9">
        <v>1500000</v>
      </c>
      <c r="P33" s="11">
        <v>4500</v>
      </c>
      <c r="Q33" s="8"/>
    </row>
    <row r="34" spans="1:17" ht="22.8">
      <c r="A34" s="25"/>
      <c r="B34" s="5" t="s">
        <v>31</v>
      </c>
      <c r="C34" s="6" t="s">
        <v>78</v>
      </c>
      <c r="D34" s="18">
        <v>104892</v>
      </c>
      <c r="E34" s="18" t="s">
        <v>79</v>
      </c>
      <c r="F34" s="6"/>
      <c r="G34" s="6"/>
      <c r="H34" s="7"/>
      <c r="I34" s="9"/>
      <c r="J34" s="11"/>
      <c r="K34" s="9"/>
      <c r="L34" s="11"/>
      <c r="M34" s="9">
        <v>3068520</v>
      </c>
      <c r="N34" s="11">
        <v>9205.56</v>
      </c>
      <c r="O34" s="9">
        <v>3068520</v>
      </c>
      <c r="P34" s="11">
        <v>9205.56</v>
      </c>
      <c r="Q34" s="8"/>
    </row>
    <row r="35" spans="1:17" ht="22.8">
      <c r="A35" s="25"/>
      <c r="B35" s="5" t="s">
        <v>31</v>
      </c>
      <c r="C35" s="6" t="s">
        <v>78</v>
      </c>
      <c r="D35" s="18">
        <v>26493</v>
      </c>
      <c r="E35" s="18" t="s">
        <v>79</v>
      </c>
      <c r="F35" s="6"/>
      <c r="G35" s="6"/>
      <c r="H35" s="7"/>
      <c r="I35" s="9"/>
      <c r="J35" s="11"/>
      <c r="K35" s="9"/>
      <c r="L35" s="11"/>
      <c r="M35" s="9">
        <v>2596440</v>
      </c>
      <c r="N35" s="11">
        <v>7789.32</v>
      </c>
      <c r="O35" s="9">
        <v>2596440</v>
      </c>
      <c r="P35" s="11">
        <v>7789.32</v>
      </c>
      <c r="Q35" s="8"/>
    </row>
    <row r="36" spans="1:17" ht="22.8">
      <c r="A36" s="25"/>
      <c r="B36" s="5" t="s">
        <v>31</v>
      </c>
      <c r="C36" s="6" t="s">
        <v>78</v>
      </c>
      <c r="D36" s="18">
        <v>26493</v>
      </c>
      <c r="E36" s="18"/>
      <c r="F36" s="6"/>
      <c r="G36" s="6"/>
      <c r="H36" s="7"/>
      <c r="I36" s="9">
        <v>5210700</v>
      </c>
      <c r="J36" s="11">
        <v>15632.1</v>
      </c>
      <c r="K36" s="9">
        <v>5210700</v>
      </c>
      <c r="L36" s="11">
        <v>15632.1</v>
      </c>
      <c r="M36" s="9"/>
      <c r="N36" s="11"/>
      <c r="O36" s="9"/>
      <c r="P36" s="11"/>
      <c r="Q36" s="8"/>
    </row>
    <row r="37" spans="1:17" ht="22.8">
      <c r="A37" s="25"/>
      <c r="B37" s="21"/>
      <c r="C37" s="22"/>
      <c r="D37" s="22"/>
      <c r="E37" s="22"/>
      <c r="F37" s="22"/>
      <c r="G37" s="23">
        <v>114956500</v>
      </c>
      <c r="H37" s="24">
        <v>314289.3</v>
      </c>
      <c r="I37" s="24">
        <v>154637860</v>
      </c>
      <c r="J37" s="24">
        <v>729251.91</v>
      </c>
      <c r="K37" s="24">
        <f t="shared" ref="K37:P37" si="0">SUM(K4:K36)</f>
        <v>154637860</v>
      </c>
      <c r="L37" s="24">
        <f t="shared" si="0"/>
        <v>336497.1</v>
      </c>
      <c r="M37" s="24">
        <f t="shared" si="0"/>
        <v>125297300</v>
      </c>
      <c r="N37" s="24">
        <f t="shared" si="0"/>
        <v>191522.12</v>
      </c>
      <c r="O37" s="24">
        <f t="shared" si="0"/>
        <v>125297300</v>
      </c>
      <c r="P37" s="24">
        <f t="shared" si="0"/>
        <v>191522.12</v>
      </c>
      <c r="Q37" s="8"/>
    </row>
    <row r="38" spans="1:17" ht="13.8">
      <c r="A38" s="25"/>
      <c r="B38" s="25"/>
      <c r="C38" s="25"/>
      <c r="D38" s="25"/>
      <c r="E38" s="25"/>
      <c r="F38" s="25"/>
      <c r="G38" s="25"/>
      <c r="H38" s="25"/>
      <c r="I38" s="25"/>
      <c r="J38" s="25"/>
    </row>
  </sheetData>
  <mergeCells count="6">
    <mergeCell ref="O2:Q2"/>
    <mergeCell ref="B1:L1"/>
    <mergeCell ref="G2:H2"/>
    <mergeCell ref="I2:J2"/>
    <mergeCell ref="K2:L2"/>
    <mergeCell ref="M2:N2"/>
  </mergeCells>
  <printOptions horizontalCentered="1" gridLines="1"/>
  <pageMargins left="0.25" right="0.25" top="0.75" bottom="0.75" header="0" footer="0"/>
  <pageSetup paperSize="9" fitToHeight="0" pageOrder="overThenDown" orientation="portrait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ชีต1</vt:lpstr>
      <vt:lpstr>ชีต2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Shin Asawachaisopon</cp:lastModifiedBy>
  <dcterms:modified xsi:type="dcterms:W3CDTF">2026-04-16T14:41:29Z</dcterms:modified>
</cp:coreProperties>
</file>